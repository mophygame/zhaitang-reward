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354202fc3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妖名冊_2026" sheetId="1" r:id="R5c4814965c134769"/>
    <x:sheet xmlns:r="http://schemas.openxmlformats.org/officeDocument/2006/relationships" name="統計" sheetId="2" r:id="R55c9a7cb7f8f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0"/>
      <x:color rgb="FFFFFFFF"/>
      <x:name val="Microsoft JhengHei"/>
    </x:font>
    <x:font>
      <x:sz val="10"/>
      <x:color rgb="FF222222"/>
      <x:name val="Microsoft JhengHei"/>
    </x:font>
    <x:font>
      <x:b/>
      <x:sz val="14"/>
      <x:color rgb="FFFFFFFF"/>
      <x:name val="Microsoft JhengHei"/>
    </x:font>
    <x:font>
      <x:sz val="10"/>
      <x:name val="Microsoft JhengHei"/>
    </x:font>
    <x:font>
      <x:b/>
      <x:sz val="10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B00"/>
      </x:font>
      <x:fill>
        <x:patternFill patternType="solid">
          <x:bgColor rgb="FFFFF1CC"/>
        </x:patternFill>
      </x:fill>
    </x:dxf>
    <x:dxf>
      <x:font>
        <x:b/>
        <x:color rgb="FF174EA6"/>
      </x:font>
      <x:fill>
        <x:patternFill patternType="solid">
          <x:bgColor rgb="FFE8F0FE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db4873b724a84" /><Relationship Type="http://schemas.openxmlformats.org/officeDocument/2006/relationships/theme" Target="/xl/theme/theme1.xml" Id="Rb4dc90e269054140" /><Relationship Type="http://schemas.openxmlformats.org/officeDocument/2006/relationships/sharedStrings" Target="/xl/sharedStrings.xml" Id="Ra2631cbc6d5c4aa7" /><Relationship Type="http://schemas.openxmlformats.org/officeDocument/2006/relationships/worksheet" Target="/xl/worksheets/sheet1.xml" Id="R5c4814965c134769" /><Relationship Type="http://schemas.openxmlformats.org/officeDocument/2006/relationships/worksheet" Target="/xl/worksheets/sheet2.xml" Id="R55c9a7cb7f8f42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ca51f8339b47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主要處理員案件數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案件數</c:v>
          </c:tx>
          <c:cat>
            <c:strRef>
              <c:f>'統計'!$D$4:$D$14</c:f>
              <c:strCache>
                <c:ptCount val="0"/>
              </c:strCache>
            </c:strRef>
          </c:cat>
          <c:val>
            <c:numRef>
              <c:f>'統計'!$E$4:$E$14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ca51f8339b47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s2026" displayName="Cases2026" ref="A1:M31" headerRowCount="1" totalsRowCount="0" totalsRowShown="0">
  <x:tableColumns count="13">
    <x:tableColumn id="1" name="案件編號"/>
    <x:tableColumn id="2" name="日期"/>
    <x:tableColumn id="3" name="物件／案件名稱"/>
    <x:tableColumn id="4" name="妖物／異常類型"/>
    <x:tableColumn id="5" name="真身／來源"/>
    <x:tableColumn id="6" name="凶宅等級"/>
    <x:tableColumn id="7" name="功德"/>
    <x:tableColumn id="8" name="處理員工"/>
    <x:tableColumn id="9" name="協同人員"/>
    <x:tableColumn id="10" name="處理方式"/>
    <x:tableColumn id="11" name="案件狀態"/>
    <x:tableColumn id="12" name="區域"/>
    <x:tableColumn id="13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468bd2edf4c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3616156b97b4ee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6" hidden="0" customWidth="1"/>
    <x:col min="4" max="4" width="19" hidden="0" customWidth="1"/>
    <x:col min="5" max="5" width="20" hidden="0" customWidth="1"/>
    <x:col min="6" max="6" width="10" hidden="0" customWidth="1"/>
    <x:col min="7" max="7" width="10" hidden="0" customWidth="1"/>
    <x:col min="8" max="8" width="13" hidden="0" customWidth="1"/>
    <x:col min="9" max="9" width="18" hidden="0" customWidth="1"/>
    <x:col min="10" max="10" width="22" hidden="0" customWidth="1"/>
    <x:col min="11" max="11" width="13" hidden="0" customWidth="1"/>
    <x:col min="12" max="12" width="14" hidden="0" customWidth="1"/>
    <x:col min="13" max="13" width="38" hidden="0" customWidth="1"/>
  </x:cols>
  <x:sheetData>
    <x:row r="1" ht="28" customHeight="1">
      <x:c r="A1" s="6" t="str">
        <x:v>案件編號</x:v>
      </x:c>
      <x:c r="B1" s="6" t="str">
        <x:v>日期</x:v>
      </x:c>
      <x:c r="C1" s="6" t="str">
        <x:v>物件／案件名稱</x:v>
      </x:c>
      <x:c r="D1" s="6" t="str">
        <x:v>妖物／異常類型</x:v>
      </x:c>
      <x:c r="E1" s="6" t="str">
        <x:v>真身／來源</x:v>
      </x:c>
      <x:c r="F1" s="6" t="str">
        <x:v>凶宅等級</x:v>
      </x:c>
      <x:c r="G1" s="6" t="str">
        <x:v>功德</x:v>
      </x:c>
      <x:c r="H1" s="6" t="str">
        <x:v>處理員工</x:v>
      </x:c>
      <x:c r="I1" s="6" t="str">
        <x:v>協同人員</x:v>
      </x:c>
      <x:c r="J1" s="6" t="str">
        <x:v>處理方式</x:v>
      </x:c>
      <x:c r="K1" s="6" t="str">
        <x:v>案件狀態</x:v>
      </x:c>
      <x:c r="L1" s="6" t="str">
        <x:v>區域</x:v>
      </x:c>
      <x:c r="M1" s="6" t="str">
        <x:v>備註</x:v>
      </x:c>
    </x:row>
    <x:row r="2" ht="34" customHeight="1">
      <x:c r="A2" s="14" t="str">
        <x:v>ZT-2601-001</x:v>
      </x:c>
      <x:c r="B2" s="18" t="n">
        <x:v>46030</x:v>
      </x:c>
      <x:c r="C2" s="14" t="str">
        <x:v>北區老公寓鏡面異常</x:v>
      </x:c>
      <x:c r="D2" s="14" t="str">
        <x:v>鏡靈</x:v>
      </x:c>
      <x:c r="E2" s="14" t="str">
        <x:v>浴室古鏡殘念</x:v>
      </x:c>
      <x:c r="F2" s="14" t="str">
        <x:v>中凶</x:v>
      </x:c>
      <x:c r="G2" s="20" t="n">
        <x:v>180</x:v>
      </x:c>
      <x:c r="H2" s="14" t="str">
        <x:v>褚日央</x:v>
      </x:c>
      <x:c r="I2" s="14" t="str">
        <x:v>花楀</x:v>
      </x:c>
      <x:c r="J2" s="14" t="str">
        <x:v>鏡面封存／執念剝離</x:v>
      </x:c>
      <x:c r="K2" s="14" t="str">
        <x:v>已結案</x:v>
      </x:c>
      <x:c r="L2" s="14" t="str">
        <x:v>台中北區</x:v>
      </x:c>
      <x:c r="M2" s="14" t="str">
        <x:v>倒影延遲3秒；影印機旁暫存觀察七日。</x:v>
      </x:c>
    </x:row>
    <x:row r="3" ht="34" customHeight="1">
      <x:c r="A3" s="14" t="str">
        <x:v>ZT-2601-004</x:v>
      </x:c>
      <x:c r="B3" s="18" t="n">
        <x:v>46036</x:v>
      </x:c>
      <x:c r="C3" s="14" t="str">
        <x:v>西屯紅衣套房</x:v>
      </x:c>
      <x:c r="D3" s="14" t="str">
        <x:v>地縛怨靈</x:v>
      </x:c>
      <x:c r="E3" s="14" t="str">
        <x:v>意外死亡住客</x:v>
      </x:c>
      <x:c r="F3" s="14" t="str">
        <x:v>大凶</x:v>
      </x:c>
      <x:c r="G3" s="20" t="n">
        <x:v>650</x:v>
      </x:c>
      <x:c r="H3" s="14" t="str">
        <x:v>松聽簷</x:v>
      </x:c>
      <x:c r="I3" s="14" t="str">
        <x:v>賀止損</x:v>
      </x:c>
      <x:c r="J3" s="14" t="str">
        <x:v>強制鎮壓／超度</x:v>
      </x:c>
      <x:c r="K3" s="14" t="str">
        <x:v>已結案</x:v>
      </x:c>
      <x:c r="L3" s="14" t="str">
        <x:v>台中西屯</x:v>
      </x:c>
      <x:c r="M3" s="14" t="str">
        <x:v>牆面損耗兩處，賀止損已完成估值。</x:v>
      </x:c>
    </x:row>
    <x:row r="4" ht="34" customHeight="1">
      <x:c r="A4" s="14" t="str">
        <x:v>ZT-2601-009</x:v>
      </x:c>
      <x:c r="B4" s="18" t="n">
        <x:v>46045</x:v>
      </x:c>
      <x:c r="C4" s="14" t="str">
        <x:v>老市場哭聲攤位</x:v>
      </x:c>
      <x:c r="D4" s="14" t="str">
        <x:v>幼靈</x:v>
      </x:c>
      <x:c r="E4" s="14" t="str">
        <x:v>遺失執念</x:v>
      </x:c>
      <x:c r="F4" s="14" t="str">
        <x:v>小凶</x:v>
      </x:c>
      <x:c r="G4" s="20" t="n">
        <x:v>60</x:v>
      </x:c>
      <x:c r="H4" s="14" t="str">
        <x:v>花楀</x:v>
      </x:c>
      <x:c r="I4" s="14" t="str">
        <x:v>褚日央</x:v>
      </x:c>
      <x:c r="J4" s="14" t="str">
        <x:v>安撫／尋回遺物</x:v>
      </x:c>
      <x:c r="K4" s="14" t="str">
        <x:v>已結案</x:v>
      </x:c>
      <x:c r="L4" s="14" t="str">
        <x:v>台中中區</x:v>
      </x:c>
      <x:c r="M4" s="14" t="str">
        <x:v>花楀誤把供品帶走，幸運觸發後找回核心物件。</x:v>
      </x:c>
    </x:row>
    <x:row r="5" ht="34" customHeight="1">
      <x:c r="A5" s="14" t="str">
        <x:v>ZT-2602-003</x:v>
      </x:c>
      <x:c r="B5" s="18" t="n">
        <x:v>46056</x:v>
      </x:c>
      <x:c r="C5" s="14" t="str">
        <x:v>南屯積水地下室</x:v>
      </x:c>
      <x:c r="D5" s="14" t="str">
        <x:v>水鬼</x:v>
      </x:c>
      <x:c r="E5" s="14" t="str">
        <x:v>溺亡地縛</x:v>
      </x:c>
      <x:c r="F5" s="14" t="str">
        <x:v>中凶</x:v>
      </x:c>
      <x:c r="G5" s="20" t="n">
        <x:v>240</x:v>
      </x:c>
      <x:c r="H5" s="14" t="str">
        <x:v>渚瀾</x:v>
      </x:c>
      <x:c r="I5" s="14" t="str">
        <x:v>鶕綾</x:v>
      </x:c>
      <x:c r="J5" s="14" t="str">
        <x:v>海市蜃樓／執念引導</x:v>
      </x:c>
      <x:c r="K5" s="14" t="str">
        <x:v>已結案</x:v>
      </x:c>
      <x:c r="L5" s="14" t="str">
        <x:v>台中南屯</x:v>
      </x:c>
      <x:c r="M5" s="14" t="str">
        <x:v>水面出現舊城入口，已封閉。</x:v>
      </x:c>
    </x:row>
    <x:row r="6" ht="34" customHeight="1">
      <x:c r="A6" s="14" t="str">
        <x:v>ZT-2602-011</x:v>
      </x:c>
      <x:c r="B6" s="18" t="n">
        <x:v>46071</x:v>
      </x:c>
      <x:c r="C6" s="14" t="str">
        <x:v>北屯無人電梯</x:v>
      </x:c>
      <x:c r="D6" s="14" t="str">
        <x:v>循環靈</x:v>
      </x:c>
      <x:c r="E6" s="14" t="str">
        <x:v>墜樓事故</x:v>
      </x:c>
      <x:c r="F6" s="14" t="str">
        <x:v>中凶</x:v>
      </x:c>
      <x:c r="G6" s="20" t="n">
        <x:v>210</x:v>
      </x:c>
      <x:c r="H6" s="14" t="str">
        <x:v>婪煙</x:v>
      </x:c>
      <x:c r="I6" s="14" t="str">
        <x:v>冥濠</x:v>
      </x:c>
      <x:c r="J6" s="14" t="str">
        <x:v>霧域封鎖／驅離</x:v>
      </x:c>
      <x:c r="K6" s="14" t="str">
        <x:v>已結案</x:v>
      </x:c>
      <x:c r="L6" s="14" t="str">
        <x:v>台中北屯</x:v>
      </x:c>
      <x:c r="M6" s="14" t="str">
        <x:v>電梯於03:17固定停靠不存在樓層。</x:v>
      </x:c>
    </x:row>
    <x:row r="7" ht="34" customHeight="1">
      <x:c r="A7" s="14" t="str">
        <x:v>ZT-2602-016</x:v>
      </x:c>
      <x:c r="B7" s="18" t="n">
        <x:v>46080</x:v>
      </x:c>
      <x:c r="C7" s="14" t="str">
        <x:v>十三樓無窗房</x:v>
      </x:c>
      <x:c r="D7" s="14" t="str">
        <x:v>食夢妖</x:v>
      </x:c>
      <x:c r="E7" s="14" t="str">
        <x:v>不明妖物</x:v>
      </x:c>
      <x:c r="F7" s="14" t="str">
        <x:v>大凶</x:v>
      </x:c>
      <x:c r="G7" s="20" t="n">
        <x:v>780</x:v>
      </x:c>
      <x:c r="H7" s="14" t="str">
        <x:v>鶕綾</x:v>
      </x:c>
      <x:c r="I7" s="14" t="str">
        <x:v>松聽簷</x:v>
      </x:c>
      <x:c r="J7" s="14" t="str">
        <x:v>因果嫁接／收妖</x:v>
      </x:c>
      <x:c r="K7" s="14" t="str">
        <x:v>已結案</x:v>
      </x:c>
      <x:c r="L7" s="14" t="str">
        <x:v>台中西區</x:v>
      </x:c>
      <x:c r="M7" s="14" t="str">
        <x:v>三名住戶出現共同夢境；功德核算加成。</x:v>
      </x:c>
    </x:row>
    <x:row r="8" ht="34" customHeight="1">
      <x:c r="A8" s="14" t="str">
        <x:v>ZT-2603-002</x:v>
      </x:c>
      <x:c r="B8" s="18" t="n">
        <x:v>46086</x:v>
      </x:c>
      <x:c r="C8" s="14" t="str">
        <x:v>廢棄診所手術燈</x:v>
      </x:c>
      <x:c r="D8" s="14" t="str">
        <x:v>器靈</x:v>
      </x:c>
      <x:c r="E8" s="14" t="str">
        <x:v>舊式無影燈</x:v>
      </x:c>
      <x:c r="F8" s="14" t="str">
        <x:v>中凶</x:v>
      </x:c>
      <x:c r="G8" s="20" t="n">
        <x:v>260</x:v>
      </x:c>
      <x:c r="H8" s="14" t="str">
        <x:v>賀止損</x:v>
      </x:c>
      <x:c r="I8" s="14" t="str">
        <x:v>車車</x:v>
      </x:c>
      <x:c r="J8" s="14" t="str">
        <x:v>燈火照真／封存</x:v>
      </x:c>
      <x:c r="K8" s="14" t="str">
        <x:v>已結案</x:v>
      </x:c>
      <x:c r="L8" s="14" t="str">
        <x:v>台中東區</x:v>
      </x:c>
      <x:c r="M8" s="14" t="str">
        <x:v>車車對電源線異常磨蹭，額外加班4小時。</x:v>
      </x:c>
    </x:row>
    <x:row r="9" ht="34" customHeight="1">
      <x:c r="A9" s="14" t="str">
        <x:v>ZT-2603-008</x:v>
      </x:c>
      <x:c r="B9" s="18" t="n">
        <x:v>46097</x:v>
      </x:c>
      <x:c r="C9" s="14" t="str">
        <x:v>霧峰山宅失蹤案</x:v>
      </x:c>
      <x:c r="D9" s="14" t="str">
        <x:v>山魈</x:v>
      </x:c>
      <x:c r="E9" s="14" t="str">
        <x:v>山林妖物</x:v>
      </x:c>
      <x:c r="F9" s="14" t="str">
        <x:v>大凶</x:v>
      </x:c>
      <x:c r="G9" s="20" t="n">
        <x:v>720</x:v>
      </x:c>
      <x:c r="H9" s="14" t="str">
        <x:v>松聽簷</x:v>
      </x:c>
      <x:c r="I9" s="14" t="str">
        <x:v>冥濠</x:v>
      </x:c>
      <x:c r="J9" s="14" t="str">
        <x:v>追跡／傘域收魂</x:v>
      </x:c>
      <x:c r="K9" s="14" t="str">
        <x:v>已結案</x:v>
      </x:c>
      <x:c r="L9" s="14" t="str">
        <x:v>台中霧峰</x:v>
      </x:c>
      <x:c r="M9" s="14" t="str">
        <x:v>兩名失蹤者存活救出。</x:v>
      </x:c>
    </x:row>
    <x:row r="10" ht="34" customHeight="1">
      <x:c r="A10" s="14" t="str">
        <x:v>ZT-2603-014</x:v>
      </x:c>
      <x:c r="B10" s="18" t="n">
        <x:v>46110</x:v>
      </x:c>
      <x:c r="C10" s="14" t="str">
        <x:v>白色走廊重複房</x:v>
      </x:c>
      <x:c r="D10" s="14" t="str">
        <x:v>空間異常</x:v>
      </x:c>
      <x:c r="E10" s="14" t="str">
        <x:v>執念場域</x:v>
      </x:c>
      <x:c r="F10" s="14" t="str">
        <x:v>極凶</x:v>
      </x:c>
      <x:c r="G10" s="20" t="n">
        <x:v>1600</x:v>
      </x:c>
      <x:c r="H10" s="14" t="str">
        <x:v>鶕綾</x:v>
      </x:c>
      <x:c r="I10" s="14" t="str">
        <x:v>褚日央、玳敕青</x:v>
      </x:c>
      <x:c r="J10" s="14" t="str">
        <x:v>因果剝離／空間閉鎖</x:v>
      </x:c>
      <x:c r="K10" s="14" t="str">
        <x:v>持續監測</x:v>
      </x:c>
      <x:c r="L10" s="14" t="str">
        <x:v>台中西屯</x:v>
      </x:c>
      <x:c r="M10" s="14" t="str">
        <x:v>曾出現第二核心，監測期延長60日。</x:v>
      </x:c>
    </x:row>
    <x:row r="11" ht="34" customHeight="1">
      <x:c r="A11" s="14" t="str">
        <x:v>ZT-2604-001</x:v>
      </x:c>
      <x:c r="B11" s="18" t="n">
        <x:v>46114</x:v>
      </x:c>
      <x:c r="C11" s="14" t="str">
        <x:v>舊戲院第九排</x:v>
      </x:c>
      <x:c r="D11" s="14" t="str">
        <x:v>戲魂</x:v>
      </x:c>
      <x:c r="E11" s="14" t="str">
        <x:v>演員執念</x:v>
      </x:c>
      <x:c r="F11" s="14" t="str">
        <x:v>小凶</x:v>
      </x:c>
      <x:c r="G11" s="20" t="n">
        <x:v>90</x:v>
      </x:c>
      <x:c r="H11" s="14" t="str">
        <x:v>花楀</x:v>
      </x:c>
      <x:c r="I11" s="14" t="str">
        <x:v>玳敕青</x:v>
      </x:c>
      <x:c r="J11" s="14" t="str">
        <x:v>溝通／遺物歸還</x:v>
      </x:c>
      <x:c r="K11" s="14" t="str">
        <x:v>已結案</x:v>
      </x:c>
      <x:c r="L11" s="14" t="str">
        <x:v>台中中區</x:v>
      </x:c>
      <x:c r="M11" s="14" t="str">
        <x:v>每晚自動播放不存在的謝幕場景。</x:v>
      </x:c>
    </x:row>
    <x:row r="12" ht="34" customHeight="1">
      <x:c r="A12" s="14" t="str">
        <x:v>ZT-2604-006</x:v>
      </x:c>
      <x:c r="B12" s="18" t="n">
        <x:v>46123</x:v>
      </x:c>
      <x:c r="C12" s="14" t="str">
        <x:v>東勢鏡宅</x:v>
      </x:c>
      <x:c r="D12" s="14" t="str">
        <x:v>鏡妖分靈</x:v>
      </x:c>
      <x:c r="E12" s="14" t="str">
        <x:v>古鏡碎片</x:v>
      </x:c>
      <x:c r="F12" s="14" t="str">
        <x:v>大凶</x:v>
      </x:c>
      <x:c r="G12" s="20" t="n">
        <x:v>820</x:v>
      </x:c>
      <x:c r="H12" s="14" t="str">
        <x:v>褚日央</x:v>
      </x:c>
      <x:c r="I12" s="14" t="str">
        <x:v>鶕綾</x:v>
      </x:c>
      <x:c r="J12" s="14" t="str">
        <x:v>鏡面侵識反制／封存</x:v>
      </x:c>
      <x:c r="K12" s="14" t="str">
        <x:v>已結案</x:v>
      </x:c>
      <x:c r="L12" s="14" t="str">
        <x:v>台中東勢</x:v>
      </x:c>
      <x:c r="M12" s="14" t="str">
        <x:v>褚日央拒絕評論是否為遠房親戚。</x:v>
      </x:c>
    </x:row>
    <x:row r="13" ht="34" customHeight="1">
      <x:c r="A13" s="14" t="str">
        <x:v>ZT-2604-013</x:v>
      </x:c>
      <x:c r="B13" s="18" t="n">
        <x:v>46136</x:v>
      </x:c>
      <x:c r="C13" s="14" t="str">
        <x:v>沙鹿冷藏庫</x:v>
      </x:c>
      <x:c r="D13" s="14" t="str">
        <x:v>寒魄</x:v>
      </x:c>
      <x:c r="E13" s="14" t="str">
        <x:v>意外死亡殘魂</x:v>
      </x:c>
      <x:c r="F13" s="14" t="str">
        <x:v>中凶</x:v>
      </x:c>
      <x:c r="G13" s="20" t="n">
        <x:v>300</x:v>
      </x:c>
      <x:c r="H13" s="14" t="str">
        <x:v>冥濠</x:v>
      </x:c>
      <x:c r="I13" s="14" t="str">
        <x:v>婪煙</x:v>
      </x:c>
      <x:c r="J13" s="14" t="str">
        <x:v>靜月石壓制／引渡</x:v>
      </x:c>
      <x:c r="K13" s="14" t="str">
        <x:v>已結案</x:v>
      </x:c>
      <x:c r="L13" s="14" t="str">
        <x:v>台中沙鹿</x:v>
      </x:c>
      <x:c r="M13" s="14" t="str">
        <x:v>現場溫度異常下降至-4°C。</x:v>
      </x:c>
    </x:row>
    <x:row r="14" ht="34" customHeight="1">
      <x:c r="A14" s="14" t="str">
        <x:v>ZT-2605-005</x:v>
      </x:c>
      <x:c r="B14" s="18" t="n">
        <x:v>46151</x:v>
      </x:c>
      <x:c r="C14" s="14" t="str">
        <x:v>大里紅梅傘影</x:v>
      </x:c>
      <x:c r="D14" s="14" t="str">
        <x:v>傘靈</x:v>
      </x:c>
      <x:c r="E14" s="14" t="str">
        <x:v>仿製妖器</x:v>
      </x:c>
      <x:c r="F14" s="14" t="str">
        <x:v>中凶</x:v>
      </x:c>
      <x:c r="G14" s="20" t="n">
        <x:v>280</x:v>
      </x:c>
      <x:c r="H14" s="14" t="str">
        <x:v>松聽簷</x:v>
      </x:c>
      <x:c r="I14" s="14" t="str">
        <x:v>玳敕青</x:v>
      </x:c>
      <x:c r="J14" s="14" t="str">
        <x:v>標記追蹤／拆解</x:v>
      </x:c>
      <x:c r="K14" s="14" t="str">
        <x:v>已結案</x:v>
      </x:c>
      <x:c r="L14" s="14" t="str">
        <x:v>台中大里</x:v>
      </x:c>
      <x:c r="M14" s="14" t="str">
        <x:v>松聽簷評語：假的，做工很差。</x:v>
      </x:c>
    </x:row>
    <x:row r="15" ht="34" customHeight="1">
      <x:c r="A15" s="14" t="str">
        <x:v>ZT-2605-010</x:v>
      </x:c>
      <x:c r="B15" s="18" t="n">
        <x:v>46161</x:v>
      </x:c>
      <x:c r="C15" s="14" t="str">
        <x:v>凌晨零點狼嚎案</x:v>
      </x:c>
      <x:c r="D15" s="14" t="str">
        <x:v>低階群靈</x:v>
      </x:c>
      <x:c r="E15" s="14" t="str">
        <x:v>街區聚集</x:v>
      </x:c>
      <x:c r="F15" s="14" t="str">
        <x:v>小凶</x:v>
      </x:c>
      <x:c r="G15" s="20" t="n">
        <x:v>120</x:v>
      </x:c>
      <x:c r="H15" s="14" t="str">
        <x:v>冥濠</x:v>
      </x:c>
      <x:c r="I15" s="14" t="str"/>
      <x:c r="J15" s="14" t="str">
        <x:v>震懾／驅散</x:v>
      </x:c>
      <x:c r="K15" s="14" t="str">
        <x:v>已結案</x:v>
      </x:c>
      <x:c r="L15" s="14" t="str">
        <x:v>台中西區</x:v>
      </x:c>
      <x:c r="M15" s="14" t="str">
        <x:v>00:00固定處理；午未禁止攜帶牛軋糖干擾。</x:v>
      </x:c>
    </x:row>
    <x:row r="16" ht="34" customHeight="1">
      <x:c r="A16" s="14" t="str">
        <x:v>ZT-2605-017</x:v>
      </x:c>
      <x:c r="B16" s="18" t="n">
        <x:v>46173</x:v>
      </x:c>
      <x:c r="C16" s="14" t="str">
        <x:v>無主古宅墨字浮現</x:v>
      </x:c>
      <x:c r="D16" s="14" t="str">
        <x:v>書靈</x:v>
      </x:c>
      <x:c r="E16" s="14" t="str">
        <x:v>舊契書</x:v>
      </x:c>
      <x:c r="F16" s="14" t="str">
        <x:v>中凶</x:v>
      </x:c>
      <x:c r="G16" s="20" t="n">
        <x:v>330</x:v>
      </x:c>
      <x:c r="H16" s="14" t="str">
        <x:v>玳敕青</x:v>
      </x:c>
      <x:c r="I16" s="14" t="str">
        <x:v>褚日央</x:v>
      </x:c>
      <x:c r="J16" s="14" t="str">
        <x:v>物件溯源／封存</x:v>
      </x:c>
      <x:c r="K16" s="14" t="str">
        <x:v>已結案</x:v>
      </x:c>
      <x:c r="L16" s="14" t="str">
        <x:v>彰化</x:v>
      </x:c>
      <x:c r="M16" s="14" t="str">
        <x:v>抽屜自行開啟並出現土地契約舊字。</x:v>
      </x:c>
    </x:row>
    <x:row r="17" ht="34" customHeight="1">
      <x:c r="A17" s="14" t="str">
        <x:v>ZT-2606-003</x:v>
      </x:c>
      <x:c r="B17" s="18" t="n">
        <x:v>46179</x:v>
      </x:c>
      <x:c r="C17" s="14" t="str">
        <x:v>公司地下室霧鎖客戶案</x:v>
      </x:c>
      <x:c r="D17" s="14" t="str">
        <x:v>霧妖外溢</x:v>
      </x:c>
      <x:c r="E17" s="14" t="str">
        <x:v>員工能力失控</x:v>
      </x:c>
      <x:c r="F17" s="14" t="str">
        <x:v>小凶</x:v>
      </x:c>
      <x:c r="G17" s="20" t="n">
        <x:v>0</x:v>
      </x:c>
      <x:c r="H17" s="14" t="str">
        <x:v>婪煙</x:v>
      </x:c>
      <x:c r="I17" s="14" t="str">
        <x:v>裘芨</x:v>
      </x:c>
      <x:c r="J17" s="14" t="str">
        <x:v>自行收束／善後</x:v>
      </x:c>
      <x:c r="K17" s="14" t="str">
        <x:v>內部事故</x:v>
      </x:c>
      <x:c r="L17" s="14" t="str">
        <x:v>齋堂房屋</x:v>
      </x:c>
      <x:c r="M17" s="14" t="str">
        <x:v>非正式收妖案件；客戶最終完成簽約。</x:v>
      </x:c>
    </x:row>
    <x:row r="18" ht="34" customHeight="1">
      <x:c r="A18" s="14" t="str">
        <x:v>ZT-2606-008</x:v>
      </x:c>
      <x:c r="B18" s="18" t="n">
        <x:v>46190</x:v>
      </x:c>
      <x:c r="C18" s="14" t="str">
        <x:v>太平空屋腳步聲</x:v>
      </x:c>
      <x:c r="D18" s="14" t="str">
        <x:v>宅靈</x:v>
      </x:c>
      <x:c r="E18" s="14" t="str">
        <x:v>長期空置形成</x:v>
      </x:c>
      <x:c r="F18" s="14" t="str">
        <x:v>小凶</x:v>
      </x:c>
      <x:c r="G18" s="20" t="n">
        <x:v>75</x:v>
      </x:c>
      <x:c r="H18" s="14" t="str">
        <x:v>花楀</x:v>
      </x:c>
      <x:c r="I18" s="14" t="str">
        <x:v>肥料</x:v>
      </x:c>
      <x:c r="J18" s="14" t="str">
        <x:v>安撫／清潔場域</x:v>
      </x:c>
      <x:c r="K18" s="14" t="str">
        <x:v>已結案</x:v>
      </x:c>
      <x:c r="L18" s="14" t="str">
        <x:v>台中太平</x:v>
      </x:c>
      <x:c r="M18" s="14" t="str">
        <x:v>肥料先找到核心房間，但拒絕回應名字。</x:v>
      </x:c>
    </x:row>
    <x:row r="19" ht="34" customHeight="1">
      <x:c r="A19" s="14" t="str">
        <x:v>ZT-2606-015</x:v>
      </x:c>
      <x:c r="B19" s="18" t="n">
        <x:v>46201</x:v>
      </x:c>
      <x:c r="C19" s="14" t="str">
        <x:v>七期玻璃帷幕倒影</x:v>
      </x:c>
      <x:c r="D19" s="14" t="str">
        <x:v>鏡像侵識</x:v>
      </x:c>
      <x:c r="E19" s="14" t="str">
        <x:v>未知</x:v>
      </x:c>
      <x:c r="F19" s="14" t="str">
        <x:v>極凶</x:v>
      </x:c>
      <x:c r="G19" s="20" t="n">
        <x:v>1850</x:v>
      </x:c>
      <x:c r="H19" s="14" t="str">
        <x:v>褚日央</x:v>
      </x:c>
      <x:c r="I19" s="14" t="str">
        <x:v>鶕綾、冥濠</x:v>
      </x:c>
      <x:c r="J19" s="14" t="str">
        <x:v>鏡面封域／因果置換</x:v>
      </x:c>
      <x:c r="K19" s="14" t="str">
        <x:v>已結案</x:v>
      </x:c>
      <x:c r="L19" s="14" t="str">
        <x:v>台中西屯</x:v>
      </x:c>
      <x:c r="M19" s="14" t="str">
        <x:v>群體幻覺12人，無死亡。</x:v>
      </x:c>
    </x:row>
    <x:row r="20" ht="34" customHeight="1">
      <x:c r="A20" s="14" t="str">
        <x:v>ZT-2607-002</x:v>
      </x:c>
      <x:c r="B20" s="18" t="n">
        <x:v>46207</x:v>
      </x:c>
      <x:c r="C20" s="14" t="str">
        <x:v>豐原舊旅館407</x:v>
      </x:c>
      <x:c r="D20" s="14" t="str">
        <x:v>厲鬼</x:v>
      </x:c>
      <x:c r="E20" s="14" t="str">
        <x:v>他殺復仇執念</x:v>
      </x:c>
      <x:c r="F20" s="14" t="str">
        <x:v>大凶</x:v>
      </x:c>
      <x:c r="G20" s="20" t="n">
        <x:v>900</x:v>
      </x:c>
      <x:c r="H20" s="14" t="str">
        <x:v>鶕綾</x:v>
      </x:c>
      <x:c r="I20" s="14" t="str">
        <x:v>渚瀾</x:v>
      </x:c>
      <x:c r="J20" s="14" t="str">
        <x:v>因果嫁接／超度</x:v>
      </x:c>
      <x:c r="K20" s="14" t="str">
        <x:v>已結案</x:v>
      </x:c>
      <x:c r="L20" s="14" t="str">
        <x:v>台中豐原</x:v>
      </x:c>
      <x:c r="M20" s="14" t="str">
        <x:v>怨氣於嫁接後快速歸零。</x:v>
      </x:c>
    </x:row>
    <x:row r="21" ht="34" customHeight="1">
      <x:c r="A21" s="14" t="str">
        <x:v>ZT-2607-009</x:v>
      </x:c>
      <x:c r="B21" s="18" t="n">
        <x:v>46218</x:v>
      </x:c>
      <x:c r="C21" s="14" t="str">
        <x:v>屋頂水塔人影</x:v>
      </x:c>
      <x:c r="D21" s="14" t="str">
        <x:v>水祟</x:v>
      </x:c>
      <x:c r="E21" s="14" t="str">
        <x:v>不明</x:v>
      </x:c>
      <x:c r="F21" s="14" t="str">
        <x:v>中凶</x:v>
      </x:c>
      <x:c r="G21" s="20" t="n">
        <x:v>260</x:v>
      </x:c>
      <x:c r="H21" s="14" t="str">
        <x:v>渚瀾</x:v>
      </x:c>
      <x:c r="I21" s="14" t="str">
        <x:v>花楀</x:v>
      </x:c>
      <x:c r="J21" s="14" t="str">
        <x:v>魚塘收容／觀察</x:v>
      </x:c>
      <x:c r="K21" s="14" t="str">
        <x:v>持續監測</x:v>
      </x:c>
      <x:c r="L21" s="14" t="str">
        <x:v>台中南區</x:v>
      </x:c>
      <x:c r="M21" s="14" t="str">
        <x:v>花楀缺水後禁止繼續靠近水面。</x:v>
      </x:c>
    </x:row>
    <x:row r="22" ht="34" customHeight="1">
      <x:c r="A22" s="14" t="str">
        <x:v>ZT-2607-016</x:v>
      </x:c>
      <x:c r="B22" s="18" t="n">
        <x:v>46230</x:v>
      </x:c>
      <x:c r="C22" s="14" t="str">
        <x:v>梧棲倉庫紅眼妖</x:v>
      </x:c>
      <x:c r="D22" s="14" t="str">
        <x:v>鼠妖</x:v>
      </x:c>
      <x:c r="E22" s="14" t="str">
        <x:v>貨倉群聚妖物</x:v>
      </x:c>
      <x:c r="F22" s="14" t="str">
        <x:v>中凶</x:v>
      </x:c>
      <x:c r="G22" s="20" t="n">
        <x:v>220</x:v>
      </x:c>
      <x:c r="H22" s="14" t="str">
        <x:v>冥濠</x:v>
      </x:c>
      <x:c r="I22" s="14" t="str">
        <x:v>松聽簷</x:v>
      </x:c>
      <x:c r="J22" s="14" t="str">
        <x:v>驅散／核心收妖</x:v>
      </x:c>
      <x:c r="K22" s="14" t="str">
        <x:v>已結案</x:v>
      </x:c>
      <x:c r="L22" s="14" t="str">
        <x:v>台中梧棲</x:v>
      </x:c>
      <x:c r="M22" s="14" t="str">
        <x:v>低階妖物共31隻，主體1隻。</x:v>
      </x:c>
    </x:row>
    <x:row r="23" ht="34" customHeight="1">
      <x:c r="A23" s="14" t="str">
        <x:v>ZT-2608-001</x:v>
      </x:c>
      <x:c r="B23" s="18" t="n">
        <x:v>46236</x:v>
      </x:c>
      <x:c r="C23" s="14" t="str">
        <x:v>春水大樓B棟13樓</x:v>
      </x:c>
      <x:c r="D23" s="14" t="str">
        <x:v>高階怨靈</x:v>
      </x:c>
      <x:c r="E23" s="14" t="str">
        <x:v>連續死亡事件</x:v>
      </x:c>
      <x:c r="F23" s="14" t="str">
        <x:v>極凶</x:v>
      </x:c>
      <x:c r="G23" s="20" t="n">
        <x:v>2100</x:v>
      </x:c>
      <x:c r="H23" s="14" t="str">
        <x:v>松聽簷</x:v>
      </x:c>
      <x:c r="I23" s="14" t="str">
        <x:v>鶕綾、賀止損</x:v>
      </x:c>
      <x:c r="J23" s="14" t="str">
        <x:v>傘域壓制／因果清算</x:v>
      </x:c>
      <x:c r="K23" s="14" t="str">
        <x:v>已結案</x:v>
      </x:c>
      <x:c r="L23" s="14" t="str">
        <x:v>台中北區</x:v>
      </x:c>
      <x:c r="M23" s="14" t="str">
        <x:v>案件由三級升至五級；牆面損毀三處。</x:v>
      </x:c>
    </x:row>
    <x:row r="24" ht="34" customHeight="1">
      <x:c r="A24" s="14" t="str">
        <x:v>ZT-2608-006</x:v>
      </x:c>
      <x:c r="B24" s="18" t="n">
        <x:v>46243</x:v>
      </x:c>
      <x:c r="C24" s="14" t="str">
        <x:v>舊校舍點名聲</x:v>
      </x:c>
      <x:c r="D24" s="14" t="str">
        <x:v>群體殘響</x:v>
      </x:c>
      <x:c r="E24" s="14" t="str">
        <x:v>事故記憶場</x:v>
      </x:c>
      <x:c r="F24" s="14" t="str">
        <x:v>中凶</x:v>
      </x:c>
      <x:c r="G24" s="20" t="n">
        <x:v>340</x:v>
      </x:c>
      <x:c r="H24" s="14" t="str">
        <x:v>婪煙</x:v>
      </x:c>
      <x:c r="I24" s="14" t="str">
        <x:v>花楀</x:v>
      </x:c>
      <x:c r="J24" s="14" t="str">
        <x:v>霧域隔離／記憶消散</x:v>
      </x:c>
      <x:c r="K24" s="14" t="str">
        <x:v>已結案</x:v>
      </x:c>
      <x:c r="L24" s="14" t="str">
        <x:v>台中后里</x:v>
      </x:c>
      <x:c r="M24" s="14" t="str">
        <x:v>點名至不存在的第43號時燈光熄滅。</x:v>
      </x:c>
    </x:row>
    <x:row r="25" ht="34" customHeight="1">
      <x:c r="A25" s="14" t="str">
        <x:v>ZT-2608-011</x:v>
      </x:c>
      <x:c r="B25" s="18" t="n">
        <x:v>46250</x:v>
      </x:c>
      <x:c r="C25" s="14" t="str">
        <x:v>城郊無門古宅</x:v>
      </x:c>
      <x:c r="D25" s="14" t="str">
        <x:v>空間妖</x:v>
      </x:c>
      <x:c r="E25" s="14" t="str">
        <x:v>未知高階</x:v>
      </x:c>
      <x:c r="F25" s="14" t="str">
        <x:v>極凶</x:v>
      </x:c>
      <x:c r="G25" s="20" t="n">
        <x:v>2400</x:v>
      </x:c>
      <x:c r="H25" s="14" t="str">
        <x:v>鶕綾</x:v>
      </x:c>
      <x:c r="I25" s="14" t="str">
        <x:v>松聽簷、玳敕青</x:v>
      </x:c>
      <x:c r="J25" s="14" t="str">
        <x:v>封域／核心切離</x:v>
      </x:c>
      <x:c r="K25" s="14" t="str">
        <x:v>持續監測</x:v>
      </x:c>
      <x:c r="L25" s="14" t="str">
        <x:v>台中烏日</x:v>
      </x:c>
      <x:c r="M25" s="14" t="str">
        <x:v>入口會依觀察者記憶改變。</x:v>
      </x:c>
    </x:row>
    <x:row r="26" ht="34" customHeight="1">
      <x:c r="A26" s="14" t="str">
        <x:v>ZT-2608-017</x:v>
      </x:c>
      <x:c r="B26" s="18" t="n">
        <x:v>46256</x:v>
      </x:c>
      <x:c r="C26" s="14" t="str">
        <x:v>自殺套房執念案</x:v>
      </x:c>
      <x:c r="D26" s="14" t="str">
        <x:v>自縛亡魂</x:v>
      </x:c>
      <x:c r="E26" s="14" t="str">
        <x:v>生前選擇執念</x:v>
      </x:c>
      <x:c r="F26" s="14" t="str">
        <x:v>大凶</x:v>
      </x:c>
      <x:c r="G26" s="20" t="n">
        <x:v>760</x:v>
      </x:c>
      <x:c r="H26" s="14" t="str">
        <x:v>渚瀾</x:v>
      </x:c>
      <x:c r="I26" s="14" t="str">
        <x:v>鶕綾</x:v>
      </x:c>
      <x:c r="J26" s="14" t="str">
        <x:v>海市蜃樓／魚塘暫收</x:v>
      </x:c>
      <x:c r="K26" s="14" t="str">
        <x:v>已結案</x:v>
      </x:c>
      <x:c r="L26" s="14" t="str">
        <x:v>台中西區</x:v>
      </x:c>
      <x:c r="M26" s="14" t="str">
        <x:v>以逝者最後選擇為核心完成引導。</x:v>
      </x:c>
    </x:row>
    <x:row r="27" ht="34" customHeight="1">
      <x:c r="A27" s="14" t="str">
        <x:v>ZT-2608-021</x:v>
      </x:c>
      <x:c r="B27" s="18" t="n">
        <x:v>46260</x:v>
      </x:c>
      <x:c r="C27" s="14" t="str">
        <x:v>辦公室影印機異常</x:v>
      </x:c>
      <x:c r="D27" s="14" t="str">
        <x:v>非妖異</x:v>
      </x:c>
      <x:c r="E27" s="14" t="str">
        <x:v>糖果紙卡紙</x:v>
      </x:c>
      <x:c r="F27" s="14" t="str">
        <x:v>無</x:v>
      </x:c>
      <x:c r="G27" s="20" t="n">
        <x:v>0</x:v>
      </x:c>
      <x:c r="H27" s="14" t="str">
        <x:v>褚日央</x:v>
      </x:c>
      <x:c r="I27" s="14" t="str">
        <x:v>賀止損</x:v>
      </x:c>
      <x:c r="J27" s="14" t="str">
        <x:v>設備維修</x:v>
      </x:c>
      <x:c r="K27" s="14" t="str">
        <x:v>內部事故</x:v>
      </x:c>
      <x:c r="L27" s="14" t="str">
        <x:v>齋堂房屋</x:v>
      </x:c>
      <x:c r="M27" s="14" t="str">
        <x:v>故障原因：天帝將糖果紙塞進出紙口。</x:v>
      </x:c>
    </x:row>
    <x:row r="28" ht="34" customHeight="1">
      <x:c r="A28" s="14" t="str">
        <x:v>ZT-2608-024</x:v>
      </x:c>
      <x:c r="B28" s="18" t="n">
        <x:v>46264</x:v>
      </x:c>
      <x:c r="C28" s="14" t="str">
        <x:v>南屯夢遊住宅</x:v>
      </x:c>
      <x:c r="D28" s="14" t="str">
        <x:v>夢魘</x:v>
      </x:c>
      <x:c r="E28" s="14" t="str">
        <x:v>住戶集體焦慮</x:v>
      </x:c>
      <x:c r="F28" s="14" t="str">
        <x:v>中凶</x:v>
      </x:c>
      <x:c r="G28" s="20" t="n">
        <x:v>410</x:v>
      </x:c>
      <x:c r="H28" s="14" t="str">
        <x:v>賀止損</x:v>
      </x:c>
      <x:c r="I28" s="14" t="str">
        <x:v>褚日央</x:v>
      </x:c>
      <x:c r="J28" s="14" t="str">
        <x:v>燈火照真／執念拆解</x:v>
      </x:c>
      <x:c r="K28" s="14" t="str">
        <x:v>已結案</x:v>
      </x:c>
      <x:c r="L28" s="14" t="str">
        <x:v>台中南屯</x:v>
      </x:c>
      <x:c r="M28" s="14" t="str">
        <x:v>住戶皆夢見同一份未繳帳單。賀止損拒絕評論。</x:v>
      </x:c>
    </x:row>
    <x:row r="29" ht="34" customHeight="1">
      <x:c r="A29" s="14" t="str">
        <x:v>ZT-2609-001</x:v>
      </x:c>
      <x:c r="B29" s="18" t="n">
        <x:v>46266</x:v>
      </x:c>
      <x:c r="C29" s="14" t="str">
        <x:v>西南方妖氣裂隙</x:v>
      </x:c>
      <x:c r="D29" s="14" t="str">
        <x:v>跨界低階妖群</x:v>
      </x:c>
      <x:c r="E29" s="14" t="str">
        <x:v>大型妖氣裂隙</x:v>
      </x:c>
      <x:c r="F29" s="14" t="str">
        <x:v>極凶</x:v>
      </x:c>
      <x:c r="G29" s="20" t="n">
        <x:v>3200</x:v>
      </x:c>
      <x:c r="H29" s="14" t="str">
        <x:v>冥濠</x:v>
      </x:c>
      <x:c r="I29" s="14" t="str">
        <x:v>松聽簷、婪煙、午未</x:v>
      </x:c>
      <x:c r="J29" s="14" t="str">
        <x:v>三級跨界封印</x:v>
      </x:c>
      <x:c r="K29" s="14" t="str">
        <x:v>持續監測</x:v>
      </x:c>
      <x:c r="L29" s="14" t="str">
        <x:v>西南區域</x:v>
      </x:c>
      <x:c r="M29" s="14" t="str">
        <x:v>72個低階訊號穿越；午未已親自核准封印。</x:v>
      </x:c>
    </x:row>
    <x:row r="30" ht="34" customHeight="1">
      <x:c r="A30" s="14" t="str">
        <x:v>ZT-2609-003</x:v>
      </x:c>
      <x:c r="B30" s="18" t="n">
        <x:v>46268</x:v>
      </x:c>
      <x:c r="C30" s="14" t="str">
        <x:v>北屯焦慮鬼瓦斯案</x:v>
      </x:c>
      <x:c r="D30" s="14" t="str">
        <x:v>焦慮鬼</x:v>
      </x:c>
      <x:c r="E30" s="14" t="str">
        <x:v>生活執念</x:v>
      </x:c>
      <x:c r="F30" s="14" t="str">
        <x:v>小凶</x:v>
      </x:c>
      <x:c r="G30" s="20" t="n">
        <x:v>80</x:v>
      </x:c>
      <x:c r="H30" s="14" t="str">
        <x:v>花楀</x:v>
      </x:c>
      <x:c r="I30" s="14" t="str">
        <x:v>玳敕青</x:v>
      </x:c>
      <x:c r="J30" s="14" t="str">
        <x:v>溝通／解除依附</x:v>
      </x:c>
      <x:c r="K30" s="14" t="str">
        <x:v>已結案</x:v>
      </x:c>
      <x:c r="L30" s="14" t="str">
        <x:v>台中北屯</x:v>
      </x:c>
      <x:c r="M30" s="14" t="str">
        <x:v>反覆在人耳邊提醒「你忘記關瓦斯」；本次確實有一戶沒關。</x:v>
      </x:c>
    </x:row>
    <x:row r="31" ht="34" customHeight="1">
      <x:c r="A31" s="14" t="str">
        <x:v>ZT-2609-004</x:v>
      </x:c>
      <x:c r="B31" s="18" t="n">
        <x:v>46269</x:v>
      </x:c>
      <x:c r="C31" s="14" t="str">
        <x:v>西屯封印到期極凶屋</x:v>
      </x:c>
      <x:c r="D31" s="14" t="str">
        <x:v>地縛靈＋次生怨靈</x:v>
      </x:c>
      <x:c r="E31" s="14" t="str">
        <x:v>舊封印失效</x:v>
      </x:c>
      <x:c r="F31" s="14" t="str">
        <x:v>極凶</x:v>
      </x:c>
      <x:c r="G31" s="20" t="n">
        <x:v>1750</x:v>
      </x:c>
      <x:c r="H31" s="14" t="str">
        <x:v>松聽簷</x:v>
      </x:c>
      <x:c r="I31" s="14" t="str">
        <x:v>鶕綾、冥濠</x:v>
      </x:c>
      <x:c r="J31" s="14" t="str">
        <x:v>重新鎮壓／複檢</x:v>
      </x:c>
      <x:c r="K31" s="14" t="str">
        <x:v>處理中</x:v>
      </x:c>
      <x:c r="L31" s="14" t="str">
        <x:v>台中西屯</x:v>
      </x:c>
      <x:c r="M31" s="14" t="str">
        <x:v>原封印即將失效；禁止屋主進場。</x:v>
      </x:c>
    </x:row>
  </x:sheetData>
  <x:conditionalFormatting sqref="F2:F31">
    <x:cfRule type="expression" dxfId="0" priority="1">
      <x:formula>F2="極凶"</x:formula>
    </x:cfRule>
  </x:conditionalFormatting>
  <x:conditionalFormatting sqref="K2:K31">
    <x:cfRule type="expression" dxfId="1" priority="2">
      <x:formula>K2="處理中"</x:formula>
    </x:cfRule>
    <x:cfRule type="expression" dxfId="2" priority="3">
      <x:formula>K2="持續監測"</x:formula>
    </x:cfRule>
    <x:cfRule type="expression" dxfId="3" priority="4">
      <x:formula>K2="已結案"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4468bd2edf4c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4" max="4" width="16" hidden="0" customWidth="1"/>
    <x:col min="5" max="5" width="12" hidden="0" customWidth="1"/>
  </x:cols>
  <x:sheetData>
    <x:row r="1" ht="30" customHeight="1">
      <x:c r="A1" s="24" t="str">
        <x:v>齋堂房屋｜2026 收妖名冊統計</x:v>
      </x:c>
      <x:c r="B1" s="24"/>
      <x:c r="C1" s="24"/>
      <x:c r="D1" s="24"/>
      <x:c r="E1" s="24"/>
      <x:c r="F1" s="24"/>
    </x:row>
    <x:row r="3">
      <x:c r="A3" s="33" t="str">
        <x:v>統計項目</x:v>
      </x:c>
      <x:c r="B3" s="33" t="str">
        <x:v>數值</x:v>
      </x:c>
      <x:c r="D3" s="33" t="str">
        <x:v>主要處理員</x:v>
      </x:c>
      <x:c r="E3" s="33" t="str">
        <x:v>案件數</x:v>
      </x:c>
    </x:row>
    <x:row r="4">
      <x:c r="A4" s="29" t="str">
        <x:v>案件總數</x:v>
      </x:c>
      <x:c r="B4" s="29" t="n">
        <x:f>COUNTA('收妖名冊_2026'!A2:A31)</x:f>
        <x:v>30</x:v>
      </x:c>
      <x:c r="D4" s="29" t="str">
        <x:v>松聽簷</x:v>
      </x:c>
      <x:c r="E4" s="29" t="n">
        <x:f>COUNTIF('收妖名冊_2026'!H$2:H$31,D4)</x:f>
        <x:v>5</x:v>
      </x:c>
    </x:row>
    <x:row r="5">
      <x:c r="A5" s="29" t="str">
        <x:v>總功德</x:v>
      </x:c>
      <x:c r="B5" s="36" t="n">
        <x:f>SUM('收妖名冊_2026'!G2:G31)</x:f>
        <x:v>20985</x:v>
      </x:c>
      <x:c r="D5" s="29" t="str">
        <x:v>鶕綾</x:v>
      </x:c>
      <x:c r="E5" s="29" t="n">
        <x:f>COUNTIF('收妖名冊_2026'!H$2:H$31,D5)</x:f>
        <x:v>4</x:v>
      </x:c>
    </x:row>
    <x:row r="6">
      <x:c r="A6" s="29" t="str">
        <x:v>極凶案件</x:v>
      </x:c>
      <x:c r="B6" s="29" t="n">
        <x:f>COUNTIF('收妖名冊_2026'!F2:F31,"極凶")</x:f>
        <x:v>6</x:v>
      </x:c>
      <x:c r="D6" s="29" t="str">
        <x:v>褚日央</x:v>
      </x:c>
      <x:c r="E6" s="29" t="n">
        <x:f>COUNTIF('收妖名冊_2026'!H$2:H$31,D6)</x:f>
        <x:v>4</x:v>
      </x:c>
    </x:row>
    <x:row r="7">
      <x:c r="A7" s="29" t="str">
        <x:v>已結案件</x:v>
      </x:c>
      <x:c r="B7" s="29" t="n">
        <x:f>COUNTIF('收妖名冊_2026'!K2:K31,"已結案")</x:f>
        <x:v>23</x:v>
      </x:c>
      <x:c r="D7" s="29" t="str">
        <x:v>渚瀾</x:v>
      </x:c>
      <x:c r="E7" s="29" t="n">
        <x:f>COUNTIF('收妖名冊_2026'!H$2:H$31,D7)</x:f>
        <x:v>3</x:v>
      </x:c>
    </x:row>
    <x:row r="8">
      <x:c r="A8" s="29" t="str">
        <x:v>持續監測</x:v>
      </x:c>
      <x:c r="B8" s="29" t="n">
        <x:f>COUNTIF('收妖名冊_2026'!K2:K31,"持續監測")</x:f>
        <x:v>4</x:v>
      </x:c>
      <x:c r="D8" s="29" t="str">
        <x:v>花楀</x:v>
      </x:c>
      <x:c r="E8" s="29" t="n">
        <x:f>COUNTIF('收妖名冊_2026'!H$2:H$31,D8)</x:f>
        <x:v>4</x:v>
      </x:c>
    </x:row>
    <x:row r="9">
      <x:c r="D9" s="29" t="str">
        <x:v>冥濠</x:v>
      </x:c>
      <x:c r="E9" s="29" t="n">
        <x:f>COUNTIF('收妖名冊_2026'!H$2:H$31,D9)</x:f>
        <x:v>4</x:v>
      </x:c>
    </x:row>
    <x:row r="10">
      <x:c r="D10" s="29" t="str">
        <x:v>婪煙</x:v>
      </x:c>
      <x:c r="E10" s="29" t="n">
        <x:f>COUNTIF('收妖名冊_2026'!H$2:H$31,D10)</x:f>
        <x:v>3</x:v>
      </x:c>
    </x:row>
    <x:row r="11">
      <x:c r="D11" s="29" t="str">
        <x:v>賀止損</x:v>
      </x:c>
      <x:c r="E11" s="29" t="n">
        <x:f>COUNTIF('收妖名冊_2026'!H$2:H$31,D11)</x:f>
        <x:v>2</x:v>
      </x:c>
    </x:row>
    <x:row r="12">
      <x:c r="D12" s="29" t="str">
        <x:v>玳敕青</x:v>
      </x:c>
      <x:c r="E12" s="29" t="n">
        <x:f>COUNTIF('收妖名冊_2026'!H$2:H$31,D12)</x:f>
        <x:v>1</x:v>
      </x:c>
    </x:row>
    <x:row r="13">
      <x:c r="D13" s="29" t="str">
        <x:v>午未</x:v>
      </x:c>
      <x:c r="E13" s="29" t="n">
        <x:f>COUNTIF('收妖名冊_2026'!H$2:H$31,D13)</x:f>
        <x:v>0</x:v>
      </x:c>
    </x:row>
    <x:row r="14">
      <x:c r="D14" s="29" t="str">
        <x:v>裘芨</x:v>
      </x:c>
      <x:c r="E14" s="29" t="n">
        <x:f>COUNTIF('收妖名冊_2026'!H$2:H$31,D14)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3616156b97b4ee0"/>
</x:worksheet>
</file>