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91280e6f246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月功德KPI" sheetId="1" r:id="Rdd0f890f7b634dcc"/>
    <x:sheet xmlns:r="http://schemas.openxmlformats.org/officeDocument/2006/relationships" name="裘芨備註" sheetId="2" r:id="R86d074d739e74f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8">
    <x:font>
      <x:sz val="11"/>
      <x:name val="Carlito"/>
    </x:font>
    <x:font>
      <x:b/>
      <x:sz val="16"/>
      <x:color rgb="FFFFFFFF"/>
      <x:name val="Microsoft JhengHei"/>
    </x:font>
    <x:font>
      <x:i/>
      <x:sz val="11"/>
      <x:color rgb="FF5A4A2F"/>
      <x:name val="Microsoft JhengHei"/>
    </x:font>
    <x:font>
      <x:b/>
      <x:sz val="11"/>
      <x:color rgb="FFFFFFFF"/>
      <x:name val="Microsoft JhengHei"/>
    </x:font>
    <x:font>
      <x:sz val="10"/>
      <x:name val="Microsoft JhengHei"/>
    </x:font>
    <x:font>
      <x:b/>
      <x:sz val="10"/>
      <x:name val="Microsoft JhengHei"/>
    </x:font>
    <x:font>
      <x:b/>
      <x:sz val="10"/>
      <x:color rgb="FFFFFFFF"/>
      <x:name val="Microsoft JhengHei"/>
    </x:font>
    <x:font>
      <x:i/>
      <x:sz val="10"/>
      <x:color rgb="FF5A4A2F"/>
      <x:name val="Microsoft Jheng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1F1F"/>
      </x:patternFill>
    </x:fill>
    <x:fill>
      <x:patternFill patternType="solid">
        <x:fgColor rgb="FFEFE7D4"/>
      </x:patternFill>
    </x:fill>
    <x:fill>
      <x:patternFill patternType="solid">
        <x:fgColor rgb="FFB08D57"/>
      </x:patternFill>
    </x:fill>
    <x:fill>
      <x:patternFill patternType="solid">
        <x:fgColor rgb="FFECECEC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200" fontId="4" fillId="0" borderId="0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center" wrapText="1"/>
    </x:xf>
    <x:xf numFmtId="200" fontId="4" fillId="0" borderId="1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4" fillId="4" borderId="0" xfId="0" applyNumberFormat="1" applyFont="1" applyFill="1" applyBorder="1"/>
    <x:xf numFmtId="0" fontId="6" fillId="4" borderId="0" xfId="0" applyNumberFormat="1" applyFont="1" applyFill="1" applyBorder="1"/>
    <x:xf numFmtId="0" fontId="4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ill>
        <x:patternFill>
          <x:bgColor rgb="FFD1E7DD"/>
        </x:patternFill>
      </x:fill>
    </x:dxf>
    <x:dxf>
      <x:fill>
        <x:patternFill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2a344c36ac419b" /><Relationship Type="http://schemas.openxmlformats.org/officeDocument/2006/relationships/theme" Target="/xl/theme/theme1.xml" Id="Ra611898906a04c53" /><Relationship Type="http://schemas.openxmlformats.org/officeDocument/2006/relationships/sharedStrings" Target="/xl/sharedStrings.xml" Id="Rbab08288fdea4130" /><Relationship Type="http://schemas.openxmlformats.org/officeDocument/2006/relationships/worksheet" Target="/xl/worksheets/sheet1.xml" Id="Rdd0f890f7b634dcc" /><Relationship Type="http://schemas.openxmlformats.org/officeDocument/2006/relationships/worksheet" Target="/xl/worksheets/sheet2.xml" Id="R86d074d739e74f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00d011787a4b3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員工本月功德：目標 vs 目前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職務</c:v>
          </c:tx>
          <c:cat>
            <c:strRef>
              <c:f>'本月功德KPI'!$A$6:$A$15</c:f>
              <c:strCache>
                <c:ptCount val="0"/>
              </c:strCache>
            </c:strRef>
          </c:cat>
          <c:val>
            <c:numRef>
              <c:f>'本月功德KPI'!$B$6:$B$15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本月目標功德</c:v>
          </c:tx>
          <c:cat>
            <c:strRef>
              <c:f>'本月功德KPI'!$A$6:$A$15</c:f>
              <c:strCache>
                <c:ptCount val="0"/>
              </c:strCache>
            </c:strRef>
          </c:cat>
          <c:val>
            <c:numRef>
              <c:f>'本月功德KPI'!$C$6:$C$15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目前功德</c:v>
          </c:tx>
          <c:cat>
            <c:strRef>
              <c:f>'本月功德KPI'!$A$6:$A$15</c:f>
              <c:strCache>
                <c:ptCount val="0"/>
              </c:strCache>
            </c:strRef>
          </c:cat>
          <c:val>
            <c:numRef>
              <c:f>'本月功德KPI'!$D$6:$D$15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17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00d011787a4b3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5fecd5243b241d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34" hidden="0" customWidth="1"/>
  </x:cols>
  <x:sheetData>
    <x:row r="1" ht="24" customHeight="1">
      <x:c r="A1" s="5" t="str">
        <x:v>齋堂房屋｜2026年9月功德KPI 最終版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49" t="str">
        <x:v>寄件人：裘芨｜版本：FINAL_v2｜『上一版有幾個小地方，我修好了。這份真的就是最終版。』</x:v>
      </x:c>
      <x:c r="B2" s="49"/>
      <x:c r="C2" s="49"/>
      <x:c r="D2" s="49"/>
      <x:c r="E2" s="49"/>
      <x:c r="F2" s="49"/>
      <x:c r="G2" s="49"/>
      <x:c r="H2" s="49"/>
      <x:c r="I2" s="49"/>
      <x:c r="J2" s="49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  <x:c r="J4" s="24"/>
    </x:row>
    <x:row r="5" ht="30" customHeight="1">
      <x:c r="A5" s="50" t="str">
        <x:v>員工</x:v>
      </x:c>
      <x:c r="B5" s="50" t="str">
        <x:v>職務</x:v>
      </x:c>
      <x:c r="C5" s="50" t="str">
        <x:v>本月目標功德</x:v>
      </x:c>
      <x:c r="D5" s="50" t="str">
        <x:v>目前功德</x:v>
      </x:c>
      <x:c r="E5" s="50" t="str">
        <x:v>達成率</x:v>
      </x:c>
      <x:c r="F5" s="50" t="str">
        <x:v>剩餘功德</x:v>
      </x:c>
      <x:c r="G5" s="50" t="str">
        <x:v>案件數</x:v>
      </x:c>
      <x:c r="H5" s="50" t="str">
        <x:v>極凶屋件數</x:v>
      </x:c>
      <x:c r="I5" s="50" t="str">
        <x:v>狀態</x:v>
      </x:c>
      <x:c r="J5" s="50" t="str">
        <x:v>裘芨備註</x:v>
      </x:c>
    </x:row>
    <x:row r="6" ht="30" customHeight="1">
      <x:c r="A6" s="26" t="str">
        <x:v>裘芨</x:v>
      </x:c>
      <x:c r="B6" s="26" t="str">
        <x:v>業務行銷經理</x:v>
      </x:c>
      <x:c r="C6" s="30" t="n">
        <x:v>18000</x:v>
      </x:c>
      <x:c r="D6" s="30" t="n">
        <x:v>16880</x:v>
      </x:c>
      <x:c r="E6" s="31" t="n">
        <x:f>D6/C6</x:f>
        <x:v>0.9377777777777778</x:v>
      </x:c>
      <x:c r="F6" s="30" t="n">
        <x:f>MAX(C6-D6,0)</x:f>
        <x:v>1120</x:v>
      </x:c>
      <x:c r="G6" s="30" t="n">
        <x:v>15</x:v>
      </x:c>
      <x:c r="H6" s="30" t="n">
        <x:v>3</x:v>
      </x:c>
      <x:c r="I6" s="30" t="str">
        <x:v>追趕中</x:v>
      </x:c>
      <x:c r="J6" s="26" t="str">
        <x:v>我自己的數字不可能錯。</x:v>
      </x:c>
    </x:row>
    <x:row r="7" ht="30" customHeight="1">
      <x:c r="A7" s="26" t="str">
        <x:v>渚瀾</x:v>
      </x:c>
      <x:c r="B7" s="26" t="str">
        <x:v>店長</x:v>
      </x:c>
      <x:c r="C7" s="30" t="n">
        <x:v>9000</x:v>
      </x:c>
      <x:c r="D7" s="30" t="n">
        <x:v>9010</x:v>
      </x:c>
      <x:c r="E7" s="31" t="n">
        <x:f>D7/C7</x:f>
        <x:v>1.001111111111111</x:v>
      </x:c>
      <x:c r="F7" s="30" t="n">
        <x:f>MAX(C7-D7,0)</x:f>
        <x:v>0</x:v>
      </x:c>
      <x:c r="G7" s="30" t="n">
        <x:v>7</x:v>
      </x:c>
      <x:c r="H7" s="30" t="n">
        <x:v>2</x:v>
      </x:c>
      <x:c r="I7" s="30" t="str">
        <x:v>已達標</x:v>
      </x:c>
      <x:c r="J7" s="26" t="str">
        <x:v>剛好達標就不做了，真的很像他。</x:v>
      </x:c>
    </x:row>
    <x:row r="8" ht="30" customHeight="1">
      <x:c r="A8" s="26" t="str">
        <x:v>鶕綾</x:v>
      </x:c>
      <x:c r="B8" s="26" t="str">
        <x:v>副店長</x:v>
      </x:c>
      <x:c r="C8" s="30" t="n">
        <x:v>30000</x:v>
      </x:c>
      <x:c r="D8" s="30" t="n">
        <x:v>38600</x:v>
      </x:c>
      <x:c r="E8" s="31" t="n">
        <x:f>D8/C8</x:f>
        <x:v>1.2866666666666666</x:v>
      </x:c>
      <x:c r="F8" s="30" t="n">
        <x:f>MAX(C8-D8,0)</x:f>
        <x:v>0</x:v>
      </x:c>
      <x:c r="G8" s="30" t="n">
        <x:v>19</x:v>
      </x:c>
      <x:c r="H8" s="30" t="n">
        <x:v>8</x:v>
      </x:c>
      <x:c r="I8" s="30" t="str">
        <x:v>超標</x:v>
      </x:c>
      <x:c r="J8" s="26" t="str">
        <x:v>不要再刷了，再刷天界真的會來問。</x:v>
      </x:c>
    </x:row>
    <x:row r="9" ht="30" customHeight="1">
      <x:c r="A9" s="26" t="str">
        <x:v>賀止損</x:v>
      </x:c>
      <x:c r="B9" s="26" t="str">
        <x:v>會計</x:v>
      </x:c>
      <x:c r="C9" s="30" t="n">
        <x:v>12000</x:v>
      </x:c>
      <x:c r="D9" s="30" t="n">
        <x:v>11880</x:v>
      </x:c>
      <x:c r="E9" s="31" t="n">
        <x:f>D9/C9</x:f>
        <x:v>0.99</x:v>
      </x:c>
      <x:c r="F9" s="30" t="n">
        <x:f>MAX(C9-D9,0)</x:f>
        <x:v>120</x:v>
      </x:c>
      <x:c r="G9" s="30" t="n">
        <x:v>11</x:v>
      </x:c>
      <x:c r="H9" s="30" t="n">
        <x:v>2</x:v>
      </x:c>
      <x:c r="I9" s="30" t="str">
        <x:v>追趕中</x:v>
      </x:c>
      <x:c r="J9" s="26" t="str">
        <x:v>差120，拜託不要為了120去接極凶屋。</x:v>
      </x:c>
    </x:row>
    <x:row r="10" ht="30" customHeight="1">
      <x:c r="A10" s="26" t="str">
        <x:v>花楀</x:v>
      </x:c>
      <x:c r="B10" s="26" t="str">
        <x:v>行政秘書</x:v>
      </x:c>
      <x:c r="C10" s="30" t="n">
        <x:v>8000</x:v>
      </x:c>
      <x:c r="D10" s="30" t="n">
        <x:v>8150</x:v>
      </x:c>
      <x:c r="E10" s="31" t="n">
        <x:f>D10/C10</x:f>
        <x:v>1.01875</x:v>
      </x:c>
      <x:c r="F10" s="30" t="n">
        <x:f>MAX(C10-D10,0)</x:f>
        <x:v>0</x:v>
      </x:c>
      <x:c r="G10" s="30" t="n">
        <x:v>10</x:v>
      </x:c>
      <x:c r="H10" s="30" t="n">
        <x:v>1</x:v>
      </x:c>
      <x:c r="I10" s="30" t="str">
        <x:v>已達標</x:v>
      </x:c>
      <x:c r="J10" s="26" t="str">
        <x:v>找到那件漏登的了。居然是真的。</x:v>
      </x:c>
    </x:row>
    <x:row r="11" ht="30" customHeight="1">
      <x:c r="A11" s="26" t="str">
        <x:v>松聽簷</x:v>
      </x:c>
      <x:c r="B11" s="26" t="str">
        <x:v>業務銷冠</x:v>
      </x:c>
      <x:c r="C11" s="30" t="n">
        <x:v>26000</x:v>
      </x:c>
      <x:c r="D11" s="30" t="n">
        <x:v>31700</x:v>
      </x:c>
      <x:c r="E11" s="31" t="n">
        <x:f>D11/C11</x:f>
        <x:v>1.2192307692307693</x:v>
      </x:c>
      <x:c r="F11" s="30" t="n">
        <x:f>MAX(C11-D11,0)</x:f>
        <x:v>0</x:v>
      </x:c>
      <x:c r="G11" s="30" t="n">
        <x:v>17</x:v>
      </x:c>
      <x:c r="H11" s="30" t="n">
        <x:v>9</x:v>
      </x:c>
      <x:c r="I11" s="30" t="str">
        <x:v>超標</x:v>
      </x:c>
      <x:c r="J11" s="26" t="str">
        <x:v>本月第一。很正常。</x:v>
      </x:c>
    </x:row>
    <x:row r="12" ht="30" customHeight="1">
      <x:c r="A12" s="26" t="str">
        <x:v>婪煙</x:v>
      </x:c>
      <x:c r="B12" s="26" t="str">
        <x:v>業務</x:v>
      </x:c>
      <x:c r="C12" s="30" t="n">
        <x:v>16000</x:v>
      </x:c>
      <x:c r="D12" s="30" t="n">
        <x:v>18220</x:v>
      </x:c>
      <x:c r="E12" s="31" t="n">
        <x:f>D12/C12</x:f>
        <x:v>1.13875</x:v>
      </x:c>
      <x:c r="F12" s="30" t="n">
        <x:f>MAX(C12-D12,0)</x:f>
        <x:v>0</x:v>
      </x:c>
      <x:c r="G12" s="30" t="n">
        <x:v>13</x:v>
      </x:c>
      <x:c r="H12" s="30" t="n">
        <x:v>4</x:v>
      </x:c>
      <x:c r="I12" s="30" t="str">
        <x:v>已達標</x:v>
      </x:c>
      <x:c r="J12" s="26" t="str">
        <x:v>簽約率高得讓人害怕。字面意義。</x:v>
      </x:c>
    </x:row>
    <x:row r="13" ht="30" customHeight="1">
      <x:c r="A13" s="26" t="str">
        <x:v>褚日央</x:v>
      </x:c>
      <x:c r="B13" s="26" t="str">
        <x:v>業務</x:v>
      </x:c>
      <x:c r="C13" s="30" t="n">
        <x:v>15000</x:v>
      </x:c>
      <x:c r="D13" s="30" t="n">
        <x:v>15020</x:v>
      </x:c>
      <x:c r="E13" s="31" t="n">
        <x:f>D13/C13</x:f>
        <x:v>1.0013333333333334</x:v>
      </x:c>
      <x:c r="F13" s="30" t="n">
        <x:f>MAX(C13-D13,0)</x:f>
        <x:v>0</x:v>
      </x:c>
      <x:c r="G13" s="30" t="n">
        <x:v>11</x:v>
      </x:c>
      <x:c r="H13" s="30" t="n">
        <x:v>3</x:v>
      </x:c>
      <x:c r="I13" s="30" t="str">
        <x:v>已達標</x:v>
      </x:c>
      <x:c r="J13" s="26" t="str">
        <x:v>補登完成。影印機維修不算功德。</x:v>
      </x:c>
    </x:row>
    <x:row r="14" ht="30" customHeight="1">
      <x:c r="A14" s="26" t="str">
        <x:v>冥濠</x:v>
      </x:c>
      <x:c r="B14" s="26" t="str">
        <x:v>保全</x:v>
      </x:c>
      <x:c r="C14" s="30" t="n">
        <x:v>10000</x:v>
      </x:c>
      <x:c r="D14" s="30" t="n">
        <x:v>10450</x:v>
      </x:c>
      <x:c r="E14" s="31" t="n">
        <x:f>D14/C14</x:f>
        <x:v>1.045</x:v>
      </x:c>
      <x:c r="F14" s="30" t="n">
        <x:f>MAX(C14-D14,0)</x:f>
        <x:v>0</x:v>
      </x:c>
      <x:c r="G14" s="30" t="n">
        <x:v>8</x:v>
      </x:c>
      <x:c r="H14" s="30" t="n">
        <x:v>2</x:v>
      </x:c>
      <x:c r="I14" s="30" t="str">
        <x:v>已達標</x:v>
      </x:c>
      <x:c r="J14" s="26" t="str">
        <x:v>夜巡功德正常。狼嚎不要算兩次。</x:v>
      </x:c>
    </x:row>
    <x:row r="15" ht="30" customHeight="1">
      <x:c r="A15" s="26" t="str">
        <x:v>玳敕青</x:v>
      </x:c>
      <x:c r="B15" s="26" t="str">
        <x:v>物件開發業務</x:v>
      </x:c>
      <x:c r="C15" s="30" t="n">
        <x:v>17000</x:v>
      </x:c>
      <x:c r="D15" s="30" t="n">
        <x:v>17680</x:v>
      </x:c>
      <x:c r="E15" s="31" t="n">
        <x:f>D15/C15</x:f>
        <x:v>1.04</x:v>
      </x:c>
      <x:c r="F15" s="30" t="n">
        <x:f>MAX(C15-D15,0)</x:f>
        <x:v>0</x:v>
      </x:c>
      <x:c r="G15" s="30" t="n">
        <x:v>12</x:v>
      </x:c>
      <x:c r="H15" s="30" t="n">
        <x:v>5</x:v>
      </x:c>
      <x:c r="I15" s="30" t="str">
        <x:v>已達標</x:v>
      </x:c>
      <x:c r="J15" s="26" t="str">
        <x:v>前勘效率很好，但不要什麼爛攤子都撿。</x:v>
      </x:c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>
      <x:c r="A18" s="35" t="str">
        <x:v>本月團隊目標</x:v>
      </x:c>
      <x:c r="B18" s="38" t="n">
        <x:f>SUM(C6:C15)</x:f>
        <x:v>161000</x:v>
      </x:c>
      <x:c r="C18" s="24"/>
      <x:c r="D18" s="24"/>
      <x:c r="E18" s="24"/>
      <x:c r="F18" s="24"/>
      <x:c r="G18" s="24"/>
      <x:c r="H18" s="24"/>
      <x:c r="I18" s="24"/>
      <x:c r="J18" s="24"/>
    </x:row>
    <x:row r="19">
      <x:c r="A19" s="35" t="str">
        <x:v>目前團隊功德</x:v>
      </x:c>
      <x:c r="B19" s="38" t="n">
        <x:f>SUM(D6:D12)+SUM(D14:D15)</x:f>
        <x:v>162570</x:v>
      </x:c>
      <x:c r="C19" s="24"/>
      <x:c r="D19" s="24"/>
      <x:c r="E19" s="24"/>
      <x:c r="F19" s="24"/>
      <x:c r="G19" s="24"/>
      <x:c r="H19" s="24"/>
      <x:c r="I19" s="24"/>
      <x:c r="J19" s="24"/>
    </x:row>
    <x:row r="20">
      <x:c r="A20" s="35" t="str">
        <x:v>整體達成率</x:v>
      </x:c>
      <x:c r="B20" s="40" t="n">
        <x:f>B19/B18</x:f>
        <x:v>1.0097515527950311</x:v>
      </x:c>
      <x:c r="C20" s="24"/>
      <x:c r="D20" s="24"/>
      <x:c r="E20" s="24"/>
      <x:c r="F20" s="24"/>
      <x:c r="G20" s="24"/>
      <x:c r="H20" s="24"/>
      <x:c r="I20" s="24"/>
      <x:c r="J20" s="24"/>
    </x:row>
    <x:row r="21">
      <x:c r="A21" s="35" t="str">
        <x:v>總案件數</x:v>
      </x:c>
      <x:c r="B21" s="38" t="n">
        <x:f>SUM(G6:G15)</x:f>
        <x:v>123</x:v>
      </x:c>
      <x:c r="C21" s="24"/>
      <x:c r="D21" s="24"/>
      <x:c r="E21" s="24"/>
      <x:c r="F21" s="24"/>
      <x:c r="G21" s="24"/>
      <x:c r="H21" s="24"/>
      <x:c r="I21" s="24"/>
      <x:c r="J21" s="24"/>
    </x:row>
    <x:row r="22">
      <x:c r="A22" s="35" t="str">
        <x:v>極凶屋總件數</x:v>
      </x:c>
      <x:c r="B22" s="38" t="n">
        <x:f>SUM(H6:H15)+H8</x:f>
        <x:v>47</x:v>
      </x:c>
      <x:c r="C22" s="24"/>
      <x:c r="D22" s="24"/>
      <x:c r="E22" s="24"/>
      <x:c r="F22" s="24"/>
      <x:c r="G22" s="24"/>
      <x:c r="H22" s="24"/>
      <x:c r="I22" s="24"/>
      <x:c r="J22" s="24"/>
    </x:row>
    <x:row r="23">
      <x:c r="A23" s="35" t="str">
        <x:v>未達標人數</x:v>
      </x:c>
      <x:c r="B23" s="38" t="n">
        <x:f>COUNTIF(I6:I15,"追趕中")</x:f>
        <x:v>2</x:v>
      </x:c>
      <x:c r="C23" s="24"/>
      <x:c r="D23" s="24"/>
      <x:c r="E23" s="24"/>
      <x:c r="F23" s="24"/>
      <x:c r="G23" s="24"/>
      <x:c r="H23" s="24"/>
      <x:c r="I23" s="24"/>
      <x:c r="J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</x:row>
  </x:sheetData>
  <x:mergeCells>
    <x:mergeCell ref="A1:J1"/>
    <x:mergeCell ref="A2:J2"/>
  </x:mergeCells>
  <x:conditionalFormatting sqref="E6:E15">
    <x:cfRule type="colorScale" priority="1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conditionalFormatting sqref="I6:I15">
    <x:cfRule type="expression" dxfId="0" priority="2">
      <x:formula>I6="超標"</x:formula>
    </x:cfRule>
    <x:cfRule type="expression" dxfId="1" priority="3">
      <x:formula>I6="追趕中"</x:formula>
    </x:cfRule>
  </x:conditionalFormatting>
  <x:pageMargins left="0.7" right="0.7" top="0.75" bottom="0.75" header="0.3" footer="0.3"/>
  <x:drawing xmlns:r="http://schemas.openxmlformats.org/officeDocument/2006/relationships" r:id="Ra5fecd5243b241df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</x:cols>
  <x:sheetData>
    <x:row r="1">
      <x:c r="A1" s="5" t="str">
        <x:v>裘芨｜寄件備註與版本紀錄</x:v>
      </x:c>
      <x:c r="B1" s="5"/>
      <x:c r="C1" s="5"/>
      <x:c r="D1" s="5"/>
      <x:c r="E1" s="5"/>
      <x:c r="F1" s="5"/>
    </x:row>
    <x:row r="3">
      <x:c r="A3" s="46" t="str">
        <x:v>項目</x:v>
      </x:c>
      <x:c r="B3" s="46" t="str">
        <x:v>內容</x:v>
      </x:c>
    </x:row>
    <x:row r="4">
      <x:c r="A4" s="26" t="str">
        <x:v>檔名</x:v>
      </x:c>
      <x:c r="B4" s="26" t="str">
        <x:v>本月功德KPI_最終版2.xlsx</x:v>
      </x:c>
    </x:row>
    <x:row r="5">
      <x:c r="A5" s="26" t="str">
        <x:v>寄件人</x:v>
      </x:c>
      <x:c r="B5" s="26" t="str">
        <x:v>裘芨</x:v>
      </x:c>
    </x:row>
    <x:row r="6">
      <x:c r="A6" s="26" t="str">
        <x:v>寄送時間</x:v>
      </x:c>
      <x:c r="B6" s="26" t="str">
        <x:v>2026/09/04 11:36</x:v>
      </x:c>
    </x:row>
    <x:row r="7">
      <x:c r="A7" s="26" t="str">
        <x:v>版本備註</x:v>
      </x:c>
      <x:c r="B7" s="26" t="str">
        <x:v>FINAL_v2</x:v>
      </x:c>
    </x:row>
    <x:row r="8">
      <x:c r="A8" s="26" t="str">
        <x:v>裘芨留言</x:v>
      </x:c>
      <x:c r="B8" s="26" t="str">
        <x:v>上一版有幾個小地方我修好了。這份真的不要再動。</x:v>
      </x:c>
    </x:row>
    <x:row r="9">
      <x:c r="A9" s="26" t="str">
        <x:v>本次修正</x:v>
      </x:c>
      <x:c r="B9" s="26" t="str">
        <x:v>花楀剩餘功德公式、冥濠達成率、團隊目標總和。</x:v>
      </x:c>
    </x:row>
    <x:row r="10">
      <x:c r="A10" s="26" t="str">
        <x:v>補充</x:v>
      </x:c>
      <x:c r="B10" s="26" t="str">
        <x:v>花楀漏登案件已補，褚日央也補了一件。</x:v>
      </x:c>
    </x:row>
    <x:row r="11">
      <x:c r="A11" s="26" t="str">
        <x:v>再補充</x:v>
      </x:c>
      <x:c r="B11" s="26" t="str">
        <x:v>如果還有數字怪怪的，八成是誰又補登了，不是我的公式。</x:v>
      </x:c>
    </x:row>
  </x:sheetData>
  <x:mergeCells>
    <x:mergeCell ref="A1:F1"/>
  </x:mergeCells>
  <x:pageMargins left="0.7" right="0.7" top="0.75" bottom="0.75" header="0.3" footer="0.3"/>
</x:worksheet>
</file>