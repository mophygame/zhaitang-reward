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ee6c040d6f4d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本月功德KPI" sheetId="1" r:id="Rb886d14a0f524f99"/>
    <x:sheet xmlns:r="http://schemas.openxmlformats.org/officeDocument/2006/relationships" name="裘芨備註" sheetId="2" r:id="R9e94dffacd394c0b"/>
    <x:sheet xmlns:r="http://schemas.openxmlformats.org/officeDocument/2006/relationships" name="花楀的小本本" sheetId="3" r:id="Ree0573ef181f4e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22">
    <x:font>
      <x:sz val="11"/>
      <x:name val="Carlito"/>
    </x:font>
    <x:font>
      <x:b/>
      <x:sz val="16"/>
      <x:color rgb="FFFFFFFF"/>
      <x:name val="Microsoft JhengHei"/>
    </x:font>
    <x:font>
      <x:i/>
      <x:sz val="11"/>
      <x:color rgb="FF5A4A2F"/>
      <x:name val="Microsoft JhengHei"/>
    </x:font>
    <x:font>
      <x:b/>
      <x:sz val="11"/>
      <x:color rgb="FFFFFFFF"/>
      <x:name val="Microsoft JhengHei"/>
    </x:font>
    <x:font>
      <x:sz val="10"/>
      <x:name val="Microsoft JhengHei"/>
    </x:font>
    <x:font>
      <x:b/>
      <x:sz val="10"/>
      <x:name val="Microsoft JhengHei"/>
    </x:font>
    <x:font>
      <x:b/>
      <x:sz val="10"/>
      <x:color rgb="FFFFFFFF"/>
      <x:name val="Microsoft JhengHei"/>
    </x:font>
    <x:font>
      <x:i/>
      <x:sz val="10"/>
      <x:color rgb="FF5A4A2F"/>
      <x:name val="Microsoft JhengHei"/>
    </x:font>
    <x:font>
      <x:b/>
      <x:sz val="16"/>
      <x:color rgb="FF4B3B57"/>
      <x:name val="Microsoft JhengHei"/>
    </x:font>
    <x:font>
      <x:i/>
      <x:sz val="10"/>
      <x:color rgb="FF6B5A40"/>
      <x:name val="Microsoft JhengHei"/>
    </x:font>
    <x:font>
      <x:b/>
      <x:sz val="10"/>
      <x:color rgb="FF30475E"/>
      <x:name val="Microsoft JhengHei"/>
    </x:font>
    <x:font>
      <x:b/>
      <x:sz val="10"/>
      <x:color rgb="FF355C45"/>
      <x:name val="Microsoft JhengHei"/>
    </x:font>
    <x:font>
      <x:b/>
      <x:sz val="10"/>
      <x:color rgb="FF2B4734"/>
      <x:name val="Microsoft JhengHei"/>
    </x:font>
    <x:font>
      <x:b/>
      <x:sz val="10"/>
      <x:color rgb="FF7A4760"/>
      <x:name val="Microsoft JhengHei"/>
    </x:font>
    <x:font>
      <x:sz val="9"/>
      <x:name val="Microsoft JhengHei"/>
    </x:font>
    <x:font>
      <x:i/>
      <x:sz val="9"/>
      <x:color rgb="FF6E5A34"/>
      <x:name val="Microsoft JhengHei"/>
    </x:font>
    <x:font>
      <x:b/>
      <x:sz val="14"/>
      <x:color rgb="FFFFFFFF"/>
      <x:name val="Microsoft JhengHei"/>
    </x:font>
    <x:font>
      <x:b/>
      <x:sz val="10"/>
      <x:color rgb="FF444444"/>
      <x:name val="Microsoft JhengHei"/>
    </x:font>
    <x:font>
      <x:b/>
      <x:sz val="15"/>
      <x:color rgb="FF744A5B"/>
      <x:name val="Microsoft JhengHei"/>
    </x:font>
    <x:font>
      <x:i/>
      <x:sz val="9"/>
      <x:color rgb="FF6F6042"/>
      <x:name val="Microsoft JhengHei"/>
    </x:font>
    <x:font>
      <x:b/>
      <x:sz val="11"/>
      <x:color rgb="FF34506A"/>
      <x:name val="Microsoft JhengHei"/>
    </x:font>
    <x:font>
      <x:i/>
      <x:sz val="10"/>
      <x:color rgb="FF7C5364"/>
      <x:name val="Microsoft JhengHei"/>
    </x:font>
  </x:fonts>
  <x:fills count="19">
    <x:fill>
      <x:patternFill patternType="none"/>
    </x:fill>
    <x:fill>
      <x:patternFill patternType="gray125"/>
    </x:fill>
    <x:fill>
      <x:patternFill patternType="solid">
        <x:fgColor rgb="FF1F1F1F"/>
      </x:patternFill>
    </x:fill>
    <x:fill>
      <x:patternFill patternType="solid">
        <x:fgColor rgb="FFEFE7D4"/>
      </x:patternFill>
    </x:fill>
    <x:fill>
      <x:patternFill patternType="solid">
        <x:fgColor rgb="FFB08D57"/>
      </x:patternFill>
    </x:fill>
    <x:fill>
      <x:patternFill patternType="solid">
        <x:fgColor rgb="FFECECEC"/>
      </x:patternFill>
    </x:fill>
    <x:fill>
      <x:patternFill patternType="solid">
        <x:fgColor rgb="FFD9C2E9"/>
      </x:patternFill>
    </x:fill>
    <x:fill>
      <x:patternFill patternType="solid">
        <x:fgColor rgb="FFFFF1D6"/>
      </x:patternFill>
    </x:fill>
    <x:fill>
      <x:patternFill patternType="solid">
        <x:fgColor rgb="FFBFD7EA"/>
      </x:patternFill>
    </x:fill>
    <x:fill>
      <x:patternFill patternType="solid">
        <x:fgColor rgb="FFFFF0F5"/>
      </x:patternFill>
    </x:fill>
    <x:fill>
      <x:patternFill patternType="solid">
        <x:fgColor rgb="FFE9F3EC"/>
      </x:patternFill>
    </x:fill>
    <x:fill>
      <x:patternFill patternType="solid">
        <x:fgColor rgb="FFF7DDE8"/>
      </x:patternFill>
    </x:fill>
    <x:fill>
      <x:patternFill patternType="solid">
        <x:fgColor rgb="FFFFF7FA"/>
      </x:patternFill>
    </x:fill>
    <x:fill>
      <x:patternFill patternType="solid">
        <x:fgColor rgb="FFFFF9E8"/>
      </x:patternFill>
    </x:fill>
    <x:fill>
      <x:patternFill patternType="solid">
        <x:fgColor rgb="FFB8B8B8"/>
      </x:patternFill>
    </x:fill>
    <x:fill>
      <x:patternFill patternType="solid">
        <x:fgColor rgb="FFD7D7D7"/>
      </x:patternFill>
    </x:fill>
    <x:fill>
      <x:patternFill patternType="solid">
        <x:fgColor rgb="FFF6D7E4"/>
      </x:patternFill>
    </x:fill>
    <x:fill>
      <x:patternFill patternType="solid">
        <x:fgColor rgb="FFFFF4D6"/>
      </x:patternFill>
    </x:fill>
    <x:fill>
      <x:patternFill patternType="solid">
        <x:fgColor rgb="FFCFE3F2"/>
      </x:patternFill>
    </x:fill>
  </x:fills>
  <x:borders count="11">
    <x:border/>
    <x:border/>
    <x:border>
      <x:left style="thin">
        <x:color rgb="FFEAEAEA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EAEAEA"/>
      </x:right>
      <x:top style="thin">
        <x:color rgb="FFD9D9D9"/>
      </x:top>
    </x:border>
    <x:border>
      <x:left style="thin">
        <x:color rgb="FFEAEAEA"/>
      </x:left>
    </x:border>
    <x:border>
      <x:right style="thin">
        <x:color rgb="FFEAEAEA"/>
      </x:right>
    </x:border>
    <x:border>
      <x:left style="thin">
        <x:color rgb="FFEAEAEA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EAEAEA"/>
      </x:right>
      <x:bottom style="thin">
        <x:color rgb="FFD9D9D9"/>
      </x:bottom>
    </x:border>
    <x:border>
      <x:bottom style="thin">
        <x:color rgb="FFE6E6E6"/>
      </x:bottom>
    </x:border>
  </x:borders>
  <x:cellStyleXfs count="1">
    <x:xf numFmtId="0" fontId="0" fillId="0" borderId="0"/>
  </x:cellStyleXfs>
  <x:cellXfs count="1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0" fontId="4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horizontal="center" wrapText="1"/>
    </x:xf>
    <x:xf numFmtId="200" fontId="4" fillId="0" borderId="0" xfId="0" applyNumberFormat="1" applyFont="1" applyFill="1" applyBorder="1" applyAlignment="1">
      <x:alignment horizontal="center" wrapText="1"/>
    </x:xf>
    <x:xf numFmtId="0" fontId="4" fillId="0" borderId="1" xfId="0" applyNumberFormat="1" applyFont="1" applyFill="1" applyBorder="1" applyAlignment="1">
      <x:alignment horizontal="center" wrapText="1"/>
    </x:xf>
    <x:xf numFmtId="200" fontId="4" fillId="0" borderId="1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/>
    <x:xf numFmtId="0" fontId="5" fillId="5" borderId="0" xfId="0" applyNumberFormat="1" applyFont="1" applyFill="1" applyBorder="1"/>
    <x:xf numFmtId="0" fontId="4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0" fontId="4" fillId="4" borderId="0" xfId="0" applyNumberFormat="1" applyFont="1" applyFill="1" applyBorder="1"/>
    <x:xf numFmtId="0" fontId="6" fillId="4" borderId="0" xfId="0" applyNumberFormat="1" applyFont="1" applyFill="1" applyBorder="1"/>
    <x:xf numFmtId="0" fontId="4" fillId="4" borderId="1" xfId="0" applyNumberFormat="1" applyFont="1" applyFill="1" applyBorder="1"/>
    <x:xf numFmtId="0" fontId="6" fillId="4" borderId="1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8" fillId="6" borderId="0" xfId="0" applyNumberFormat="1" applyFont="1" applyFill="1" applyBorder="1" applyAlignment="1">
      <x:alignment horizontal="center" vertical="center"/>
    </x:xf>
    <x:xf numFmtId="0" fontId="7" fillId="7" borderId="0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 vertical="center"/>
    </x:xf>
    <x:xf numFmtId="0" fontId="6" fillId="8" borderId="0" xfId="0" applyNumberFormat="1" applyFont="1" applyFill="1" applyBorder="1" applyAlignment="1">
      <x:alignment horizontal="center" vertical="center"/>
    </x:xf>
    <x:xf numFmtId="0" fontId="10" fillId="8" borderId="0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horizontal="center" wrapText="1"/>
    </x:xf>
    <x:xf numFmtId="200" fontId="4" fillId="0" borderId="3" xfId="0" applyNumberFormat="1" applyFont="1" applyFill="1" applyBorder="1" applyAlignment="1">
      <x:alignment horizontal="center"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xfId="0" applyNumberFormat="1" applyFont="1" applyFill="1" applyBorder="0" applyAlignment="1">
      <x:alignment wrapText="1"/>
    </x:xf>
    <x:xf numFmtId="0" fontId="4" fillId="0" xfId="0" applyNumberFormat="1" applyFont="1" applyFill="1" applyBorder="0" applyAlignment="1">
      <x:alignment horizontal="center" wrapText="1"/>
    </x:xf>
    <x:xf numFmtId="200" fontId="4" fillId="0" xfId="0" applyNumberFormat="1" applyFont="1" applyFill="1" applyBorder="0" applyAlignment="1">
      <x:alignment horizontal="center"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horizontal="center" wrapText="1"/>
    </x:xf>
    <x:xf numFmtId="200" fontId="4" fillId="0" borderId="8" xfId="0" applyNumberFormat="1" applyFont="1" applyFill="1" applyBorder="1" applyAlignment="1">
      <x:alignment horizontal="center" wrapText="1"/>
    </x:xf>
    <x:xf numFmtId="0" fontId="4" fillId="0" borderId="9" xfId="0" applyNumberFormat="1" applyFont="1" applyFill="1" applyBorder="1" applyAlignment="1">
      <x:alignment wrapText="1"/>
    </x:xf>
    <x:xf numFmtId="0" fontId="4" fillId="9" borderId="5" xfId="0" applyNumberFormat="1" applyFont="1" applyFill="1" applyBorder="1" applyAlignment="1">
      <x:alignment wrapText="1"/>
    </x:xf>
    <x:xf numFmtId="0" fontId="4" fillId="9" xfId="0" applyNumberFormat="1" applyFont="1" applyFill="1" applyBorder="0" applyAlignment="1">
      <x:alignment wrapText="1"/>
    </x:xf>
    <x:xf numFmtId="0" fontId="4" fillId="9" xfId="0" applyNumberFormat="1" applyFont="1" applyFill="1" applyBorder="0" applyAlignment="1">
      <x:alignment horizontal="center" wrapText="1"/>
    </x:xf>
    <x:xf numFmtId="200" fontId="4" fillId="9" xfId="0" applyNumberFormat="1" applyFont="1" applyFill="1" applyBorder="0" applyAlignment="1">
      <x:alignment horizontal="center" wrapText="1"/>
    </x:xf>
    <x:xf numFmtId="0" fontId="4" fillId="9" borderId="6" xfId="0" applyNumberFormat="1" applyFont="1" applyFill="1" applyBorder="1" applyAlignment="1">
      <x:alignment wrapText="1"/>
    </x:xf>
    <x:xf numFmtId="0" fontId="5" fillId="10" borderId="0" xfId="0" applyNumberFormat="1" applyFont="1" applyFill="1" applyBorder="1"/>
    <x:xf numFmtId="200" fontId="5" fillId="10" borderId="0" xfId="0" applyNumberFormat="1" applyFont="1" applyFill="1" applyBorder="1"/>
    <x:xf numFmtId="0" fontId="11" fillId="10" borderId="0" xfId="0" applyNumberFormat="1" applyFont="1" applyFill="1" applyBorder="1"/>
    <x:xf numFmtId="200" fontId="11" fillId="10" borderId="0" xfId="0" applyNumberFormat="1" applyFont="1" applyFill="1" applyBorder="1"/>
    <x:xf numFmtId="0" fontId="12" fillId="10" borderId="0" xfId="0" applyNumberFormat="1" applyFont="1" applyFill="1" applyBorder="1"/>
    <x:xf numFmtId="200" fontId="12" fillId="10" borderId="0" xfId="0" applyNumberFormat="1" applyFont="1" applyFill="1" applyBorder="1"/>
    <x:xf numFmtId="0" fontId="4" fillId="11" borderId="0" xfId="0" applyNumberFormat="1" applyFont="1" applyFill="1" applyBorder="1"/>
    <x:xf numFmtId="0" fontId="13" fillId="11" borderId="0" xfId="0" applyNumberFormat="1" applyFont="1" applyFill="1" applyBorder="1"/>
    <x:xf numFmtId="0" fontId="13" fillId="11" borderId="0" xfId="0" applyNumberFormat="1" applyFont="1" applyFill="1" applyBorder="1" applyAlignment="1">
      <x:alignment horizontal="center"/>
    </x:xf>
    <x:xf numFmtId="0" fontId="14" fillId="0" borderId="0" xfId="0" applyNumberFormat="1" applyFont="1" applyFill="1" applyBorder="1"/>
    <x:xf numFmtId="0" fontId="14" fillId="12" borderId="0" xfId="0" applyNumberFormat="1" applyFont="1" applyFill="1" applyBorder="1"/>
    <x:xf numFmtId="0" fontId="4" fillId="13" borderId="0" xfId="0" applyNumberFormat="1" applyFont="1" applyFill="1" applyBorder="1"/>
    <x:xf numFmtId="0" fontId="15" fillId="13" borderId="0" xfId="0" applyNumberFormat="1" applyFont="1" applyFill="1" applyBorder="1"/>
    <x:xf numFmtId="0" fontId="15" fillId="13" borderId="0" xfId="0" applyNumberFormat="1" applyFont="1" applyFill="1" applyBorder="1" applyAlignment="1">
      <x:alignment wrapText="1"/>
    </x:xf>
    <x:xf numFmtId="0" fontId="15" fillId="13" borderId="0" xfId="0" applyNumberFormat="1" applyFont="1" applyFill="1" applyBorder="1" applyAlignment="1">
      <x:alignment vertical="center" wrapText="1"/>
    </x:xf>
    <x:xf numFmtId="0" fontId="1" fillId="14" borderId="0" xfId="0" applyNumberFormat="1" applyFont="1" applyFill="1" applyBorder="1" applyAlignment="1">
      <x:alignment horizontal="center" vertical="center"/>
    </x:xf>
    <x:xf numFmtId="0" fontId="16" fillId="14" borderId="0" xfId="0" applyNumberFormat="1" applyFont="1" applyFill="1" applyBorder="1" applyAlignment="1">
      <x:alignment horizontal="center" vertical="center"/>
    </x:xf>
    <x:xf numFmtId="0" fontId="6" fillId="15" borderId="0" xfId="0" applyNumberFormat="1" applyFont="1" applyFill="1" applyBorder="1" applyAlignment="1">
      <x:alignment wrapText="1"/>
    </x:xf>
    <x:xf numFmtId="0" fontId="17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18" fillId="16" borderId="0" xfId="0" applyNumberFormat="1" applyFont="1" applyFill="1" applyBorder="1"/>
    <x:xf numFmtId="0" fontId="18" fillId="16" borderId="0" xfId="0" applyNumberFormat="1" applyFont="1" applyFill="1" applyBorder="1" applyAlignment="1">
      <x:alignment horizontal="center"/>
    </x:xf>
    <x:xf numFmtId="0" fontId="0" fillId="17" borderId="0" xfId="0" applyNumberFormat="1" applyFont="1" applyFill="1" applyBorder="1"/>
    <x:xf numFmtId="0" fontId="19" fillId="17" borderId="0" xfId="0" applyNumberFormat="1" applyFont="1" applyFill="1" applyBorder="1"/>
    <x:xf numFmtId="0" fontId="19" fillId="17" borderId="0" xfId="0" applyNumberFormat="1" applyFont="1" applyFill="1" applyBorder="1" applyAlignment="1">
      <x:alignment horizontal="center"/>
    </x:xf>
    <x:xf numFmtId="0" fontId="0" fillId="18" borderId="0" xfId="0" applyNumberFormat="1" applyFont="1" applyFill="1" applyBorder="1"/>
    <x:xf numFmtId="0" fontId="20" fillId="18" borderId="0" xfId="0" applyNumberFormat="1" applyFont="1" applyFill="1" applyBorder="1"/>
    <x:xf numFmtId="0" fontId="20" fillId="18" borderId="0" xfId="0" applyNumberFormat="1" applyFont="1" applyFill="1" applyBorder="1" applyAlignment="1">
      <x:alignment horizontal="center"/>
    </x:xf>
    <x:xf numFmtId="0" fontId="4" fillId="0" borderId="1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21" fillId="9" borderId="0" xfId="0" applyNumberFormat="1" applyFont="1" applyFill="1" applyBorder="1"/>
    <x:xf numFmtId="0" fontId="21" fillId="9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5">
    <x:dxf>
      <x:fill>
        <x:patternFill>
          <x:bgColor rgb="FFD1E7DD"/>
        </x:patternFill>
      </x:fill>
    </x:dxf>
    <x:dxf>
      <x:fill>
        <x:patternFill>
          <x:bgColor rgb="FFFFF3CD"/>
        </x:patternFill>
      </x:fill>
    </x:dxf>
    <x:dxf>
      <x:fill>
        <x:patternFill patternType="solid">
          <x:bgColor rgb="FFD8EEDB"/>
        </x:patternFill>
      </x:fill>
    </x:dxf>
    <x:dxf>
      <x:fill>
        <x:patternFill patternType="solid">
          <x:bgColor rgb="FFFFF0C9"/>
        </x:patternFill>
      </x:fill>
    </x:dxf>
    <x:dxf>
      <x:fill>
        <x:patternFill patternType="solid">
          <x:bgColor rgb="FFDC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87c22d5d1646dd" /><Relationship Type="http://schemas.openxmlformats.org/officeDocument/2006/relationships/theme" Target="/xl/theme/theme1.xml" Id="R2a2501700d4f428a" /><Relationship Type="http://schemas.openxmlformats.org/officeDocument/2006/relationships/sharedStrings" Target="/xl/sharedStrings.xml" Id="Rb84da0eb876f4481" /><Relationship Type="http://schemas.openxmlformats.org/officeDocument/2006/relationships/worksheet" Target="/xl/worksheets/sheet1.xml" Id="Rb886d14a0f524f99" /><Relationship Type="http://schemas.openxmlformats.org/officeDocument/2006/relationships/worksheet" Target="/xl/worksheets/sheet2.xml" Id="R9e94dffacd394c0b" /><Relationship Type="http://schemas.openxmlformats.org/officeDocument/2006/relationships/worksheet" Target="/xl/worksheets/sheet3.xml" Id="Ree0573ef181f4e6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a04e024451e454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本月功德進度｜我有重新算過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職務</c:v>
          </c:tx>
          <c:cat>
            <c:strRef>
              <c:f>'本月功德KPI'!$A$6:$A$15</c:f>
              <c:strCache>
                <c:ptCount val="0"/>
              </c:strCache>
            </c:strRef>
          </c:cat>
          <c:val>
            <c:numRef>
              <c:f>'本月功德KPI'!$B$6:$B$15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本月目標功德</c:v>
          </c:tx>
          <c:cat>
            <c:strRef>
              <c:f>'本月功德KPI'!$A$6:$A$15</c:f>
              <c:strCache>
                <c:ptCount val="0"/>
              </c:strCache>
            </c:strRef>
          </c:cat>
          <c:val>
            <c:numRef>
              <c:f>'本月功德KPI'!$C$6:$C$15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目前功德</c:v>
          </c:tx>
          <c:cat>
            <c:strRef>
              <c:f>'本月功德KPI'!$A$6:$A$15</c:f>
              <c:strCache>
                <c:ptCount val="0"/>
              </c:strCache>
            </c:strRef>
          </c:cat>
          <c:val>
            <c:numRef>
              <c:f>'本月功德KPI'!$D$6:$D$15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24</xdr:row>
      <xdr:rowOff>0</xdr:rowOff>
    </xdr:from>
    <xdr:to>
      <xdr:col>10</xdr:col>
      <xdr:colOff>0</xdr:colOff>
      <xdr:row>41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a04e024451e454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09d8d1f246e407a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2" hidden="0" customWidth="1"/>
    <x:col min="8" max="8" width="12" hidden="0" customWidth="1"/>
    <x:col min="9" max="9" width="12" hidden="0" customWidth="1"/>
    <x:col min="10" max="10" width="36" hidden="0" customWidth="1"/>
  </x:cols>
  <x:sheetData>
    <x:row r="1" ht="24" customHeight="1">
      <x:c r="A1" s="52" t="str">
        <x:v>齋堂房屋｜2026年9月功德KPI｜這個才是最終版</x:v>
      </x:c>
      <x:c r="B1" s="52"/>
      <x:c r="C1" s="52"/>
      <x:c r="D1" s="52"/>
      <x:c r="E1" s="52"/>
      <x:c r="F1" s="52"/>
      <x:c r="G1" s="52"/>
      <x:c r="H1" s="52"/>
      <x:c r="I1" s="52"/>
      <x:c r="J1" s="52"/>
    </x:row>
    <x:row r="2" ht="24" customHeight="1">
      <x:c r="A2" s="55" t="str">
        <x:v>修改人：花楀｜版本：FINAL_真的_final｜『我全部重新看過一次了，應該沒有問題。應該。』</x:v>
      </x:c>
      <x:c r="B2" s="55"/>
      <x:c r="C2" s="55"/>
      <x:c r="D2" s="55"/>
      <x:c r="E2" s="55"/>
      <x:c r="F2" s="55"/>
      <x:c r="G2" s="55"/>
      <x:c r="H2" s="55"/>
      <x:c r="I2" s="55"/>
      <x:c r="J2" s="55"/>
    </x:row>
    <x:row r="3">
      <x:c r="A3" s="24"/>
      <x:c r="B3" s="24"/>
      <x:c r="C3" s="24"/>
      <x:c r="D3" s="24"/>
      <x:c r="E3" s="24"/>
      <x:c r="F3" s="24"/>
      <x:c r="G3" s="24"/>
      <x:c r="H3" s="24"/>
      <x:c r="I3" s="24"/>
      <x:c r="J3" s="24"/>
    </x:row>
    <x:row r="4">
      <x:c r="A4" s="24"/>
      <x:c r="B4" s="24"/>
      <x:c r="C4" s="24"/>
      <x:c r="D4" s="24"/>
      <x:c r="E4" s="24"/>
      <x:c r="F4" s="24"/>
      <x:c r="G4" s="24"/>
      <x:c r="H4" s="24"/>
      <x:c r="I4" s="24"/>
      <x:c r="J4" s="24"/>
    </x:row>
    <x:row r="5" ht="31" customHeight="1">
      <x:c r="A5" s="57" t="str">
        <x:v>員工</x:v>
      </x:c>
      <x:c r="B5" s="57" t="str">
        <x:v>職務</x:v>
      </x:c>
      <x:c r="C5" s="57" t="str">
        <x:v>本月目標功德</x:v>
      </x:c>
      <x:c r="D5" s="57" t="str">
        <x:v>目前功德</x:v>
      </x:c>
      <x:c r="E5" s="57" t="str">
        <x:v>達成率</x:v>
      </x:c>
      <x:c r="F5" s="57" t="str">
        <x:v>剩餘功德</x:v>
      </x:c>
      <x:c r="G5" s="57" t="str">
        <x:v>案件數</x:v>
      </x:c>
      <x:c r="H5" s="57" t="str">
        <x:v>極凶屋件數</x:v>
      </x:c>
      <x:c r="I5" s="57" t="str">
        <x:v>狀態</x:v>
      </x:c>
      <x:c r="J5" s="57" t="str">
        <x:v>裘芨備註</x:v>
      </x:c>
    </x:row>
    <x:row r="6" ht="31" customHeight="1">
      <x:c r="A6" s="58" t="str">
        <x:v>裘芨</x:v>
      </x:c>
      <x:c r="B6" s="59" t="str">
        <x:v>業務行銷經理</x:v>
      </x:c>
      <x:c r="C6" s="60" t="n">
        <x:v>18000</x:v>
      </x:c>
      <x:c r="D6" s="60" t="n">
        <x:v>17260</x:v>
      </x:c>
      <x:c r="E6" s="61" t="n">
        <x:f>D6/C6</x:f>
        <x:v>0.9588888888888889</x:v>
      </x:c>
      <x:c r="F6" s="60" t="n">
        <x:f>MAX(C6-D6,0)</x:f>
        <x:v>740</x:v>
      </x:c>
      <x:c r="G6" s="60" t="n">
        <x:v>15</x:v>
      </x:c>
      <x:c r="H6" s="60" t="n">
        <x:v>3</x:v>
      </x:c>
      <x:c r="I6" s="60" t="str">
        <x:v>追趕中</x:v>
      </x:c>
      <x:c r="J6" s="62" t="str">
        <x:v>裘經理說這次一定要算對，所以我算了兩次。</x:v>
      </x:c>
    </x:row>
    <x:row r="7" ht="31" customHeight="1">
      <x:c r="A7" s="63" t="str">
        <x:v>渚瀾</x:v>
      </x:c>
      <x:c r="B7" s="64" t="str">
        <x:v>店長</x:v>
      </x:c>
      <x:c r="C7" s="65" t="n">
        <x:v>9000</x:v>
      </x:c>
      <x:c r="D7" s="65" t="n">
        <x:v>9010</x:v>
      </x:c>
      <x:c r="E7" s="66" t="n">
        <x:f>D7/C7</x:f>
        <x:v>1.001111111111111</x:v>
      </x:c>
      <x:c r="F7" s="65" t="n">
        <x:f>MAX(C7-D7,0)</x:f>
        <x:v>0</x:v>
      </x:c>
      <x:c r="G7" s="65" t="n">
        <x:v>7</x:v>
      </x:c>
      <x:c r="H7" s="65" t="n">
        <x:v>2</x:v>
      </x:c>
      <x:c r="I7" s="65" t="str">
        <x:v>已達標</x:v>
      </x:c>
      <x:c r="J7" s="67" t="str">
        <x:v>剛好達標就不做了，真的很像他。</x:v>
      </x:c>
    </x:row>
    <x:row r="8" ht="31" customHeight="1">
      <x:c r="A8" s="63" t="str">
        <x:v>鶕綾</x:v>
      </x:c>
      <x:c r="B8" s="64" t="str">
        <x:v>副店長</x:v>
      </x:c>
      <x:c r="C8" s="65" t="n">
        <x:v>30000</x:v>
      </x:c>
      <x:c r="D8" s="65" t="n">
        <x:v>38600</x:v>
      </x:c>
      <x:c r="E8" s="66" t="n">
        <x:f>D8/C8</x:f>
        <x:v>1.2866666666666666</x:v>
      </x:c>
      <x:c r="F8" s="65" t="n">
        <x:f>MAX(C8-D8,0)</x:f>
        <x:v>0</x:v>
      </x:c>
      <x:c r="G8" s="65" t="n">
        <x:v>19</x:v>
      </x:c>
      <x:c r="H8" s="65" t="n">
        <x:v>8</x:v>
      </x:c>
      <x:c r="I8" s="65" t="str">
        <x:v>超標</x:v>
      </x:c>
      <x:c r="J8" s="67" t="str">
        <x:v>不要再刷了，再刷天界真的會來問。</x:v>
      </x:c>
    </x:row>
    <x:row r="9" ht="31" customHeight="1">
      <x:c r="A9" s="63" t="str">
        <x:v>賀止損</x:v>
      </x:c>
      <x:c r="B9" s="64" t="str">
        <x:v>會計</x:v>
      </x:c>
      <x:c r="C9" s="65" t="n">
        <x:v>12000</x:v>
      </x:c>
      <x:c r="D9" s="65" t="n">
        <x:v>12120</x:v>
      </x:c>
      <x:c r="E9" s="66" t="n">
        <x:f>D9/C9</x:f>
        <x:v>1.01</x:v>
      </x:c>
      <x:c r="F9" s="65" t="n">
        <x:f>MAX(C9-D9,0)</x:f>
        <x:v>0</x:v>
      </x:c>
      <x:c r="G9" s="65" t="n">
        <x:v>11</x:v>
      </x:c>
      <x:c r="H9" s="65" t="n">
        <x:v>2</x:v>
      </x:c>
      <x:c r="I9" s="65" t="str">
        <x:v>已達標</x:v>
      </x:c>
      <x:c r="J9" s="67" t="str">
        <x:v>我有看到他補了120，不知道是不是因為不想去接極凶屋。</x:v>
      </x:c>
    </x:row>
    <x:row r="10" ht="31" customHeight="1">
      <x:c r="A10" s="73" t="str">
        <x:v>花楀</x:v>
      </x:c>
      <x:c r="B10" s="74" t="str">
        <x:v>行政秘書</x:v>
      </x:c>
      <x:c r="C10" s="75" t="n">
        <x:v>8000</x:v>
      </x:c>
      <x:c r="D10" s="75" t="n">
        <x:v>8150</x:v>
      </x:c>
      <x:c r="E10" s="76" t="n">
        <x:f>D10/C10</x:f>
        <x:v>1.01875</x:v>
      </x:c>
      <x:c r="F10" s="75" t="n">
        <x:f>MAX(C10-D10,0)</x:f>
        <x:v>0</x:v>
      </x:c>
      <x:c r="G10" s="75" t="n">
        <x:v>10</x:v>
      </x:c>
      <x:c r="H10" s="75" t="n">
        <x:v>1</x:v>
      </x:c>
      <x:c r="I10" s="75" t="str">
        <x:v>已達標</x:v>
      </x:c>
      <x:c r="J10" s="77" t="str">
        <x:v>找到那件漏登的了。居然是真的。</x:v>
      </x:c>
    </x:row>
    <x:row r="11" ht="31" customHeight="1">
      <x:c r="A11" s="63" t="str">
        <x:v>松聽簷</x:v>
      </x:c>
      <x:c r="B11" s="64" t="str">
        <x:v>業務銷冠</x:v>
      </x:c>
      <x:c r="C11" s="65" t="n">
        <x:v>26000</x:v>
      </x:c>
      <x:c r="D11" s="65" t="n">
        <x:v>31700</x:v>
      </x:c>
      <x:c r="E11" s="66" t="n">
        <x:f>D11/C11</x:f>
        <x:v>1.2192307692307693</x:v>
      </x:c>
      <x:c r="F11" s="65" t="n">
        <x:f>MAX(C11-D11,0)</x:f>
        <x:v>0</x:v>
      </x:c>
      <x:c r="G11" s="65" t="n">
        <x:v>17</x:v>
      </x:c>
      <x:c r="H11" s="65" t="n">
        <x:v>9</x:v>
      </x:c>
      <x:c r="I11" s="65" t="str">
        <x:v>超標</x:v>
      </x:c>
      <x:c r="J11" s="67" t="str">
        <x:v>本月第一。很正常。</x:v>
      </x:c>
    </x:row>
    <x:row r="12" ht="31" customHeight="1">
      <x:c r="A12" s="63" t="str">
        <x:v>婪煙</x:v>
      </x:c>
      <x:c r="B12" s="64" t="str">
        <x:v>業務</x:v>
      </x:c>
      <x:c r="C12" s="65" t="n">
        <x:v>16000</x:v>
      </x:c>
      <x:c r="D12" s="65" t="n">
        <x:v>18220</x:v>
      </x:c>
      <x:c r="E12" s="66" t="n">
        <x:f>D12/C12</x:f>
        <x:v>1.13875</x:v>
      </x:c>
      <x:c r="F12" s="65" t="n">
        <x:f>MAX(C12-D12,0)</x:f>
        <x:v>0</x:v>
      </x:c>
      <x:c r="G12" s="65" t="n">
        <x:v>13</x:v>
      </x:c>
      <x:c r="H12" s="65" t="n">
        <x:v>4</x:v>
      </x:c>
      <x:c r="I12" s="65" t="str">
        <x:v>已達標</x:v>
      </x:c>
      <x:c r="J12" s="67" t="str">
        <x:v>簽約率高得讓人害怕。字面意義。</x:v>
      </x:c>
    </x:row>
    <x:row r="13" ht="31" customHeight="1">
      <x:c r="A13" s="63" t="str">
        <x:v>褚日央</x:v>
      </x:c>
      <x:c r="B13" s="64" t="str">
        <x:v>業務</x:v>
      </x:c>
      <x:c r="C13" s="65" t="n">
        <x:v>15000</x:v>
      </x:c>
      <x:c r="D13" s="65" t="n">
        <x:v>15020</x:v>
      </x:c>
      <x:c r="E13" s="66" t="n">
        <x:f>D13/C13</x:f>
        <x:v>1.0013333333333334</x:v>
      </x:c>
      <x:c r="F13" s="65" t="n">
        <x:f>MAX(C13-D13,0)</x:f>
        <x:v>0</x:v>
      </x:c>
      <x:c r="G13" s="65" t="n">
        <x:v>11</x:v>
      </x:c>
      <x:c r="H13" s="65" t="n">
        <x:v>3</x:v>
      </x:c>
      <x:c r="I13" s="65" t="str">
        <x:v>已達標</x:v>
      </x:c>
      <x:c r="J13" s="67" t="str">
        <x:v>補登完成。影印機維修不算功德。</x:v>
      </x:c>
    </x:row>
    <x:row r="14" ht="31" customHeight="1">
      <x:c r="A14" s="63" t="str">
        <x:v>冥濠</x:v>
      </x:c>
      <x:c r="B14" s="64" t="str">
        <x:v>保全</x:v>
      </x:c>
      <x:c r="C14" s="65" t="n">
        <x:v>10000</x:v>
      </x:c>
      <x:c r="D14" s="65" t="n">
        <x:v>10450</x:v>
      </x:c>
      <x:c r="E14" s="66" t="n">
        <x:f>D14/C14</x:f>
        <x:v>1.045</x:v>
      </x:c>
      <x:c r="F14" s="65" t="n">
        <x:f>MAX(C14-D14,0)</x:f>
        <x:v>0</x:v>
      </x:c>
      <x:c r="G14" s="65" t="n">
        <x:v>8</x:v>
      </x:c>
      <x:c r="H14" s="65" t="n">
        <x:v>2</x:v>
      </x:c>
      <x:c r="I14" s="65" t="str">
        <x:v>已達標</x:v>
      </x:c>
      <x:c r="J14" s="67" t="str">
        <x:v>夜巡功德正常。狼嚎不要算兩次。</x:v>
      </x:c>
    </x:row>
    <x:row r="15" ht="31" customHeight="1">
      <x:c r="A15" s="68" t="str">
        <x:v>玳敕青</x:v>
      </x:c>
      <x:c r="B15" s="69" t="str">
        <x:v>物件開發業務</x:v>
      </x:c>
      <x:c r="C15" s="70" t="n">
        <x:v>17000</x:v>
      </x:c>
      <x:c r="D15" s="70" t="n">
        <x:v>17680</x:v>
      </x:c>
      <x:c r="E15" s="71" t="n">
        <x:f>D15/C15</x:f>
        <x:v>1.04</x:v>
      </x:c>
      <x:c r="F15" s="70" t="n">
        <x:f>MAX(C15-D15,0)</x:f>
        <x:v>0</x:v>
      </x:c>
      <x:c r="G15" s="70" t="n">
        <x:v>12</x:v>
      </x:c>
      <x:c r="H15" s="70" t="n">
        <x:v>5</x:v>
      </x:c>
      <x:c r="I15" s="70" t="str">
        <x:v>已達標</x:v>
      </x:c>
      <x:c r="J15" s="72" t="str">
        <x:v>前勘效率很好，但不要什麼爛攤子都撿。</x:v>
      </x:c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</x:row>
    <x:row r="18">
      <x:c r="A18" s="80" t="str">
        <x:v>本月團隊目標</x:v>
      </x:c>
      <x:c r="B18" s="82" t="n">
        <x:f>SUM(C6:C15)</x:f>
        <x:v>161000</x:v>
      </x:c>
      <x:c r="C18" s="24"/>
      <x:c r="D18" s="86" t="str">
        <x:v>花楀檢查區｜我有一格一格看過</x:v>
      </x:c>
      <x:c r="E18" s="86"/>
      <x:c r="F18" s="86"/>
      <x:c r="G18" s="86"/>
      <x:c r="H18" s="86"/>
      <x:c r="I18" s="86"/>
      <x:c r="J18" s="86"/>
    </x:row>
    <x:row r="19">
      <x:c r="A19" s="80" t="str">
        <x:v>目前團隊功德</x:v>
      </x:c>
      <x:c r="B19" s="82" t="n">
        <x:f>SUM(D6:D15)</x:f>
        <x:v>178210</x:v>
      </x:c>
      <x:c r="C19" s="24"/>
      <x:c r="D19" s="88" t="str">
        <x:v>檢查項目</x:v>
      </x:c>
      <x:c r="E19" s="88" t="str">
        <x:v>結果</x:v>
      </x:c>
      <x:c r="F19" s="92" t="str">
        <x:v>備註：如果裘經理等等又說有錯，我覺得可能是大家在我存檔之後又去收妖了。</x:v>
      </x:c>
      <x:c r="G19" s="92"/>
      <x:c r="H19" s="92"/>
      <x:c r="I19" s="92"/>
      <x:c r="J19" s="92"/>
    </x:row>
    <x:row r="20">
      <x:c r="A20" s="80" t="str">
        <x:v>整體達成率</x:v>
      </x:c>
      <x:c r="B20" s="83" t="n">
        <x:f>B19/B18</x:f>
        <x:v>1.1068944099378881</x:v>
      </x:c>
      <x:c r="C20" s="24"/>
      <x:c r="D20" s="88" t="str">
        <x:v>達成率公式</x:v>
      </x:c>
      <x:c r="E20" s="88" t="str">
        <x:v>有</x:v>
      </x:c>
      <x:c r="F20" s="92"/>
      <x:c r="G20" s="92"/>
      <x:c r="H20" s="92"/>
      <x:c r="I20" s="92"/>
      <x:c r="J20" s="92"/>
    </x:row>
    <x:row r="21">
      <x:c r="A21" s="80" t="str">
        <x:v>總案件數</x:v>
      </x:c>
      <x:c r="B21" s="82" t="n">
        <x:f>SUM(G6:G15)+1</x:f>
        <x:v>124</x:v>
      </x:c>
      <x:c r="C21" s="24"/>
      <x:c r="D21" s="88" t="str">
        <x:v>剩餘功德</x:v>
      </x:c>
      <x:c r="E21" s="88" t="str">
        <x:v>有</x:v>
      </x:c>
      <x:c r="F21" s="92"/>
      <x:c r="G21" s="92"/>
      <x:c r="H21" s="92"/>
      <x:c r="I21" s="92"/>
      <x:c r="J21" s="92"/>
    </x:row>
    <x:row r="22">
      <x:c r="A22" s="80" t="str">
        <x:v>極凶屋總件數</x:v>
      </x:c>
      <x:c r="B22" s="82" t="n">
        <x:f>SUM(H6:H15)</x:f>
        <x:v>39</x:v>
      </x:c>
      <x:c r="C22" s="24"/>
      <x:c r="D22" s="88" t="str">
        <x:v>總功德</x:v>
      </x:c>
      <x:c r="E22" s="88" t="str">
        <x:v>我重算過</x:v>
      </x:c>
      <x:c r="F22" s="92"/>
      <x:c r="G22" s="92"/>
      <x:c r="H22" s="92"/>
      <x:c r="I22" s="92"/>
      <x:c r="J22" s="92"/>
    </x:row>
    <x:row r="23">
      <x:c r="A23" s="80" t="str">
        <x:v>未達標人數</x:v>
      </x:c>
      <x:c r="B23" s="82" t="n">
        <x:f>COUNTIF(I6:I15,"追趕中")</x:f>
        <x:v>1</x:v>
      </x:c>
      <x:c r="C23" s="24"/>
      <x:c r="D23" s="88" t="str">
        <x:v>案件總數</x:v>
      </x:c>
      <x:c r="E23" s="88" t="str">
        <x:v>應該對</x:v>
      </x:c>
      <x:c r="F23" s="92"/>
      <x:c r="G23" s="92"/>
      <x:c r="H23" s="92"/>
      <x:c r="I23" s="92"/>
      <x:c r="J23" s="92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</x:row>
  </x:sheetData>
  <x:mergeCells>
    <x:mergeCell ref="A1:J1"/>
    <x:mergeCell ref="A2:J2"/>
    <x:mergeCell ref="D18:J18"/>
    <x:mergeCell ref="F19:J23"/>
  </x:mergeCells>
  <x:conditionalFormatting sqref="E6:E15">
    <x:cfRule type="colorScale" priority="4">
      <x:colorScale>
        <x:cfvo type="min"/>
        <x:cfvo type="percentile" val="50"/>
        <x:cfvo type="max"/>
        <x:color rgb="FFF6D6DC"/>
        <x:color rgb="FFFFF0C9"/>
        <x:color rgb="FFD8EEDB"/>
      </x:colorScale>
    </x:cfRule>
  </x:conditionalFormatting>
  <x:conditionalFormatting sqref="I6:I15">
    <x:cfRule type="expression" dxfId="2" priority="5">
      <x:formula>I6="超標"</x:formula>
    </x:cfRule>
    <x:cfRule type="expression" dxfId="3" priority="6">
      <x:formula>I6="追趕中"</x:formula>
    </x:cfRule>
    <x:cfRule type="expression" dxfId="4" priority="7">
      <x:formula>I6="已達標"</x:formula>
    </x:cfRule>
  </x:conditionalFormatting>
  <x:pageMargins left="0.7" right="0.7" top="0.75" bottom="0.75" header="0.3" footer="0.3"/>
  <x:drawing xmlns:r="http://schemas.openxmlformats.org/officeDocument/2006/relationships" r:id="R509d8d1f246e407a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2" hidden="0" customWidth="1"/>
  </x:cols>
  <x:sheetData>
    <x:row r="1">
      <x:c r="A1" s="94" t="str">
        <x:v>版本歷史｜裘芨的前兩版</x:v>
      </x:c>
      <x:c r="B1" s="94"/>
      <x:c r="C1" s="94"/>
      <x:c r="D1" s="94"/>
      <x:c r="E1" s="94"/>
      <x:c r="F1" s="94"/>
    </x:row>
    <x:row r="3">
      <x:c r="A3" s="96" t="str">
        <x:v>項目</x:v>
      </x:c>
      <x:c r="B3" s="96" t="str">
        <x:v>內容</x:v>
      </x:c>
    </x:row>
    <x:row r="4">
      <x:c r="A4" s="26" t="str">
        <x:v>第一版</x:v>
      </x:c>
      <x:c r="B4" s="26" t="str">
        <x:v>本月功德KPI_最終版.xlsx</x:v>
      </x:c>
    </x:row>
    <x:row r="5">
      <x:c r="A5" s="26" t="str">
        <x:v>第二版</x:v>
      </x:c>
      <x:c r="B5" s="26" t="str">
        <x:v>本月功德KPI_最終版2.xlsx</x:v>
      </x:c>
    </x:row>
    <x:row r="6">
      <x:c r="A6" s="26" t="str">
        <x:v>目前版本</x:v>
      </x:c>
      <x:c r="B6" s="26" t="str">
        <x:v>本月功德KPI_這個才是最終版.xlsx</x:v>
      </x:c>
    </x:row>
    <x:row r="7">
      <x:c r="A7" s="26" t="str">
        <x:v>裘芨原話1</x:v>
      </x:c>
      <x:c r="B7" s="26" t="str">
        <x:v>這份就是最終版，拜託不要再改。</x:v>
      </x:c>
    </x:row>
    <x:row r="8">
      <x:c r="A8" s="26" t="str">
        <x:v>裘芨原話2</x:v>
      </x:c>
      <x:c r="B8" s="26" t="str">
        <x:v>上一版有幾個小地方，我修好了。這份真的就是最終版。</x:v>
      </x:c>
    </x:row>
    <x:row r="9">
      <x:c r="A9" s="26" t="str">
        <x:v>花楀接手原因</x:v>
      </x:c>
      <x:c r="B9" s="26" t="str">
        <x:v>裘經理說他看數字看到眼睛痛，叫我幫忙。</x:v>
      </x:c>
    </x:row>
    <x:row r="10">
      <x:c r="A10" s="26" t="str">
        <x:v>花楀自評</x:v>
      </x:c>
      <x:c r="B10" s="26" t="str">
        <x:v>我覺得現在很整齊。</x:v>
      </x:c>
    </x:row>
    <x:row r="11">
      <x:c r="A11" s="26" t="str">
        <x:v>是否通知裘芨</x:v>
      </x:c>
      <x:c r="B11" s="26" t="str">
        <x:v>還沒。</x:v>
      </x:c>
    </x:row>
    <x:row r="12">
      <x:c r="A12" s="26" t="str">
        <x:v>原因</x:v>
      </x:c>
      <x:c r="B12" s="26" t="str">
        <x:v>我想先再看一次。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14" hidden="0" customWidth="1"/>
    <x:col min="5" max="5" width="34" hidden="0" customWidth="1"/>
    <x:col min="6" max="6" width="15" hidden="0" customWidth="1"/>
  </x:cols>
  <x:sheetData>
    <x:row r="1">
      <x:c r="A1" s="99" t="str">
        <x:v>花楀的小本本｜本月功德KPI檢查筆記</x:v>
      </x:c>
      <x:c r="B1" s="99"/>
      <x:c r="C1" s="99"/>
      <x:c r="D1" s="99"/>
      <x:c r="E1" s="99"/>
      <x:c r="F1" s="99"/>
    </x:row>
    <x:row r="2">
      <x:c r="A2" s="102" t="str">
        <x:v>我怕忘記，所以寫在這裡。請不要刪。</x:v>
      </x:c>
      <x:c r="B2" s="102"/>
      <x:c r="C2" s="102"/>
      <x:c r="D2" s="102"/>
      <x:c r="E2" s="102"/>
      <x:c r="F2" s="102"/>
    </x:row>
    <x:row r="4">
      <x:c r="A4" s="105" t="str">
        <x:v>時間</x:v>
      </x:c>
      <x:c r="B4" s="105" t="str">
        <x:v>我檢查了什麼</x:v>
      </x:c>
      <x:c r="C4" s="105" t="str">
        <x:v>結果</x:v>
      </x:c>
      <x:c r="D4" s="105" t="str">
        <x:v>要不要再看</x:v>
      </x:c>
      <x:c r="E4" s="105" t="str">
        <x:v>備註</x:v>
      </x:c>
      <x:c r="F4" s="105" t="str">
        <x:v>幸運程度</x:v>
      </x:c>
    </x:row>
    <x:row r="5" ht="28" customHeight="1">
      <x:c r="A5" s="64" t="str">
        <x:v>09:18</x:v>
      </x:c>
      <x:c r="B5" s="64" t="str">
        <x:v>花楀自己的漏登案件</x:v>
      </x:c>
      <x:c r="C5" s="64" t="str">
        <x:v>找到了</x:v>
      </x:c>
      <x:c r="D5" s="64" t="str">
        <x:v>不用</x:v>
      </x:c>
      <x:c r="E5" s="64" t="str">
        <x:v>原來真的有，我沒有記錯。</x:v>
      </x:c>
      <x:c r="F5" s="64" t="str">
        <x:v>★★★★★</x:v>
      </x:c>
    </x:row>
    <x:row r="6" ht="28" customHeight="1">
      <x:c r="A6" s="64" t="str">
        <x:v>09:24</x:v>
      </x:c>
      <x:c r="B6" s="64" t="str">
        <x:v>冥濠達成率</x:v>
      </x:c>
      <x:c r="C6" s="64" t="str">
        <x:v>修好了</x:v>
      </x:c>
      <x:c r="D6" s="64" t="str">
        <x:v>不用</x:v>
      </x:c>
      <x:c r="E6" s="64" t="str">
        <x:v>145%真的有點奇怪。</x:v>
      </x:c>
      <x:c r="F6" s="64" t="str">
        <x:v>★★★☆☆</x:v>
      </x:c>
    </x:row>
    <x:row r="7" ht="28" customHeight="1">
      <x:c r="A7" s="64" t="str">
        <x:v>09:31</x:v>
      </x:c>
      <x:c r="B7" s="64" t="str">
        <x:v>團隊目標總和</x:v>
      </x:c>
      <x:c r="C7" s="64" t="str">
        <x:v>修好了</x:v>
      </x:c>
      <x:c r="D7" s="64" t="str">
        <x:v>可能</x:v>
      </x:c>
      <x:c r="E7" s="64" t="str">
        <x:v>少算玳敕青。</x:v>
      </x:c>
      <x:c r="F7" s="64" t="str">
        <x:v>★★★★☆</x:v>
      </x:c>
    </x:row>
    <x:row r="8" ht="28" customHeight="1">
      <x:c r="A8" s="64" t="str">
        <x:v>09:42</x:v>
      </x:c>
      <x:c r="B8" s="64" t="str">
        <x:v>極凶屋總件數</x:v>
      </x:c>
      <x:c r="C8" s="64" t="str">
        <x:v>修好了</x:v>
      </x:c>
      <x:c r="D8" s="64" t="str">
        <x:v>不用</x:v>
      </x:c>
      <x:c r="E8" s="64" t="str">
        <x:v>鶕綾被算了兩次。</x:v>
      </x:c>
      <x:c r="F8" s="64" t="str">
        <x:v>★★★☆☆</x:v>
      </x:c>
    </x:row>
    <x:row r="9" ht="28" customHeight="1">
      <x:c r="A9" s="64" t="str">
        <x:v>09:51</x:v>
      </x:c>
      <x:c r="B9" s="64" t="str">
        <x:v>目前團隊功德</x:v>
      </x:c>
      <x:c r="C9" s="64" t="str">
        <x:v>修好了</x:v>
      </x:c>
      <x:c r="D9" s="64" t="str">
        <x:v>要</x:v>
      </x:c>
      <x:c r="E9" s="64" t="str">
        <x:v>裘經理說不要相信上一版。</x:v>
      </x:c>
      <x:c r="F9" s="64" t="str">
        <x:v>★★★★☆</x:v>
      </x:c>
    </x:row>
    <x:row r="10" ht="28" customHeight="1">
      <x:c r="A10" s="64" t="str">
        <x:v>10:03</x:v>
      </x:c>
      <x:c r="B10" s="64" t="str">
        <x:v>案件總數</x:v>
      </x:c>
      <x:c r="C10" s="64" t="str">
        <x:v>我算了</x:v>
      </x:c>
      <x:c r="D10" s="64" t="str">
        <x:v>不用</x:v>
      </x:c>
      <x:c r="E10" s="64" t="str">
        <x:v>123件，再加我找到的那件。</x:v>
      </x:c>
      <x:c r="F10" s="64" t="str">
        <x:v>★★★★★</x:v>
      </x:c>
    </x:row>
    <x:row r="11" ht="28" customHeight="1">
      <x:c r="A11" s="64" t="str">
        <x:v>10:14</x:v>
      </x:c>
      <x:c r="B11" s="64" t="str">
        <x:v>賀止損功德</x:v>
      </x:c>
      <x:c r="C11" s="64" t="str">
        <x:v>更新</x:v>
      </x:c>
      <x:c r="D11" s="64" t="str">
        <x:v>不用</x:v>
      </x:c>
      <x:c r="E11" s="64" t="str">
        <x:v>他剛好多120。</x:v>
      </x:c>
      <x:c r="F11" s="64" t="str">
        <x:v>★★★☆☆</x:v>
      </x:c>
    </x:row>
    <x:row r="12" ht="28" customHeight="1">
      <x:c r="A12" s="64" t="str">
        <x:v>10:20</x:v>
      </x:c>
      <x:c r="B12" s="64" t="str">
        <x:v>裘芨功德</x:v>
      </x:c>
      <x:c r="C12" s="64" t="str">
        <x:v>更新</x:v>
      </x:c>
      <x:c r="D12" s="64" t="str">
        <x:v>要</x:v>
      </x:c>
      <x:c r="E12" s="64" t="str">
        <x:v>他說他自己的數字不可能錯。</x:v>
      </x:c>
      <x:c r="F12" s="64" t="str">
        <x:v>★★☆☆☆</x:v>
      </x:c>
    </x:row>
    <x:row r="13" ht="28" customHeight="1">
      <x:c r="A13" s="64" t="str">
        <x:v>10:33</x:v>
      </x:c>
      <x:c r="B13" s="64" t="str">
        <x:v>所有人的剩餘功德</x:v>
      </x:c>
      <x:c r="C13" s="64" t="str">
        <x:v>都有公式</x:v>
      </x:c>
      <x:c r="D13" s="64" t="str">
        <x:v>不用</x:v>
      </x:c>
      <x:c r="E13" s="64" t="str">
        <x:v>我看過了。</x:v>
      </x:c>
      <x:c r="F13" s="64" t="str">
        <x:v>★★★★☆</x:v>
      </x:c>
    </x:row>
    <x:row r="14" ht="28" customHeight="1">
      <x:c r="A14" s="106" t="str">
        <x:v>10:41</x:v>
      </x:c>
      <x:c r="B14" s="106" t="str">
        <x:v>檔名</x:v>
      </x:c>
      <x:c r="C14" s="106" t="str">
        <x:v>改好了</x:v>
      </x:c>
      <x:c r="D14" s="106" t="str">
        <x:v>不用</x:v>
      </x:c>
      <x:c r="E14" s="106" t="str">
        <x:v>這個才是最終版。</x:v>
      </x:c>
      <x:c r="F14" s="106" t="str">
        <x:v>★★★★★</x:v>
      </x:c>
    </x:row>
    <x:row r="16">
      <x:c r="A16" s="109" t="str">
        <x:v>最後檢查：我覺得沒有錯了。如果真的還有錯，應該是我存檔以後大家又出去收妖。</x:v>
      </x:c>
      <x:c r="B16" s="109"/>
      <x:c r="C16" s="109"/>
      <x:c r="D16" s="109"/>
      <x:c r="E16" s="109"/>
      <x:c r="F16" s="109"/>
    </x:row>
  </x:sheetData>
  <x:mergeCells>
    <x:mergeCell ref="A1:F1"/>
    <x:mergeCell ref="A2:F2"/>
    <x:mergeCell ref="A16:F16"/>
  </x:mergeCells>
  <x:pageMargins left="0.7" right="0.7" top="0.75" bottom="0.75" header="0.3" footer="0.3"/>
</x:worksheet>
</file>