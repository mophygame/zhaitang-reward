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72ac5118945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魚塘人員名單" sheetId="1" r:id="Rb675cdaae59c4361"/>
    <x:sheet xmlns:r="http://schemas.openxmlformats.org/officeDocument/2006/relationships" name="魚塘概況" sheetId="2" r:id="Rf74678dec05b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E8EEF2"/>
      <x:name val="Microsoft JhengHei"/>
    </x:font>
    <x:font>
      <x:i/>
      <x:sz val="9"/>
      <x:color rgb="FF59636B"/>
      <x:name val="Microsoft JhengHei"/>
    </x:font>
    <x:font>
      <x:b/>
      <x:sz val="10"/>
      <x:color rgb="FFFFFFFF"/>
      <x:name val="Microsoft JhengHei"/>
    </x:font>
    <x:font>
      <x:sz val="10"/>
      <x:name val="Microsoft JhengHei"/>
    </x:font>
    <x:font>
      <x:b/>
      <x:sz val="11"/>
      <x:color rgb="FFFFFFFF"/>
      <x:name val="Microsoft JhengHei"/>
    </x:font>
    <x:font>
      <x:i/>
      <x:sz val="10"/>
      <x:color rgb="FF45525A"/>
      <x:name val="Microsoft JhengHei"/>
    </x:font>
  </x:fonts>
  <x:fills count="7">
    <x:fill>
      <x:patternFill patternType="none"/>
    </x:fill>
    <x:fill>
      <x:patternFill patternType="gray125"/>
    </x:fill>
    <x:fill>
      <x:patternFill patternType="solid">
        <x:fgColor rgb="FF25313A"/>
      </x:patternFill>
    </x:fill>
    <x:fill>
      <x:patternFill patternType="solid">
        <x:fgColor rgb="FFE9ECEF"/>
      </x:patternFill>
    </x:fill>
    <x:fill>
      <x:patternFill patternType="solid">
        <x:fgColor rgb="FF657786"/>
      </x:patternFill>
    </x:fill>
    <x:fill>
      <x:patternFill patternType="solid">
        <x:fgColor rgb="FF9AA7B0"/>
      </x:patternFill>
    </x:fill>
    <x:fill>
      <x:patternFill patternType="solid">
        <x:fgColor rgb="FFEEF2F4"/>
      </x:patternFill>
    </x:fill>
  </x:fills>
  <x:borders count="4">
    <x:border/>
    <x:border/>
    <x:border>
      <x:bottom style="thin">
        <x:color rgb="FFE1E5E8"/>
      </x:bottom>
    </x:border>
    <x:border>
      <x:bottom style="thin">
        <x:color rgb="FFE1E5E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DDEFD8"/>
        </x:patternFill>
      </x:fill>
    </x:dxf>
    <x:dxf>
      <x:fill>
        <x:patternFill patternType="solid">
          <x:bgColor rgb="FFF5D0D0"/>
        </x:patternFill>
      </x:fill>
    </x:dxf>
    <x:dxf>
      <x:fill>
        <x:patternFill patternType="solid">
          <x:bgColor rgb="FFFFF1C9"/>
        </x:patternFill>
      </x:fill>
    </x:dxf>
    <x:dxf>
      <x:fill>
        <x:patternFill patternType="solid">
          <x:bgColor rgb="FFF5D0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a3262fbbc4076" /><Relationship Type="http://schemas.openxmlformats.org/officeDocument/2006/relationships/theme" Target="/xl/theme/theme1.xml" Id="Ra8a7f778e21b49af" /><Relationship Type="http://schemas.openxmlformats.org/officeDocument/2006/relationships/sharedStrings" Target="/xl/sharedStrings.xml" Id="Rc58349f0880e4fb1" /><Relationship Type="http://schemas.openxmlformats.org/officeDocument/2006/relationships/worksheet" Target="/xl/worksheets/sheet1.xml" Id="Rb675cdaae59c4361" /><Relationship Type="http://schemas.openxmlformats.org/officeDocument/2006/relationships/worksheet" Target="/xl/worksheets/sheet2.xml" Id="Rf74678dec05b4c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ada76bb01a743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魚塘收容狀態概況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'魚塘概況'!$A$4:$A$10</c:f>
              <c:strCache>
                <c:ptCount val="0"/>
              </c:strCache>
            </c:strRef>
          </c:cat>
          <c:val>
            <c:numRef>
              <c:f>'魚塘概況'!$B$4:$B$10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ada76bb01a743e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7d956e047b2487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13" hidden="0" customWidth="1"/>
    <x:col min="5" max="5" width="13" hidden="0" customWidth="1"/>
    <x:col min="6" max="6" width="18" hidden="0" customWidth="1"/>
    <x:col min="7" max="7" width="34" hidden="0" customWidth="1"/>
    <x:col min="8" max="8" width="12" hidden="0" customWidth="1"/>
    <x:col min="9" max="9" width="20" hidden="0" customWidth="1"/>
    <x:col min="10" max="10" width="14" hidden="0" customWidth="1"/>
    <x:col min="11" max="11" width="18" hidden="0" customWidth="1"/>
    <x:col min="12" max="12" width="34" hidden="0" customWidth="1"/>
  </x:cols>
  <x:sheetData>
    <x:row r="1" ht="24" customHeight="1">
      <x:c r="A1" s="5" t="str">
        <x:v>齋堂房屋｜魚塘異空間人員名單（2026）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管理人：渚瀾｜用途：收留仍保有行動意志、但暫無處可去之人員｜非一般拘禁名冊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5" ht="34" customHeight="1">
      <x:c r="A5" s="19" t="str">
        <x:v>編號</x:v>
      </x:c>
      <x:c r="B5" s="19" t="str">
        <x:v>姓名／代稱</x:v>
      </x:c>
      <x:c r="C5" s="19" t="str">
        <x:v>原案件</x:v>
      </x:c>
      <x:c r="D5" s="19" t="str">
        <x:v>進入日期</x:v>
      </x:c>
      <x:c r="E5" s="19" t="str">
        <x:v>目前狀態</x:v>
      </x:c>
      <x:c r="F5" s="19" t="str">
        <x:v>生前／原身分</x:v>
      </x:c>
      <x:c r="G5" s="19" t="str">
        <x:v>核心執念</x:v>
      </x:c>
      <x:c r="H5" s="19" t="str">
        <x:v>行動意志</x:v>
      </x:c>
      <x:c r="I5" s="19" t="str">
        <x:v>目前居所</x:v>
      </x:c>
      <x:c r="J5" s="19" t="str">
        <x:v>是否允許離開</x:v>
      </x:c>
      <x:c r="K5" s="19" t="str">
        <x:v>功德歸屬</x:v>
      </x:c>
      <x:c r="L5" s="19" t="str">
        <x:v>渚瀾備註</x:v>
      </x:c>
    </x:row>
    <x:row r="6" ht="34" customHeight="1">
      <x:c r="A6" s="26" t="str">
        <x:v>YT-001</x:v>
      </x:c>
      <x:c r="B6" s="26" t="str">
        <x:v>沈七</x:v>
      </x:c>
      <x:c r="C6" s="26" t="str">
        <x:v>南區旅館自殺案</x:v>
      </x:c>
      <x:c r="D6" s="26" t="str">
        <x:v>2026/01/18</x:v>
      </x:c>
      <x:c r="E6" s="26" t="str">
        <x:v>留居</x:v>
      </x:c>
      <x:c r="F6" s="26" t="str">
        <x:v>旅館夜班櫃台</x:v>
      </x:c>
      <x:c r="G6" s="26" t="str">
        <x:v>想把最後一封信親手交出去</x:v>
      </x:c>
      <x:c r="H6" s="26" t="str">
        <x:v>高</x:v>
      </x:c>
      <x:c r="I6" s="26" t="str">
        <x:v>東城舊客棧二樓</x:v>
      </x:c>
      <x:c r="J6" s="26" t="str">
        <x:v>是</x:v>
      </x:c>
      <x:c r="K6" s="26" t="str">
        <x:v>渚瀾</x:v>
      </x:c>
      <x:c r="L6" s="26" t="str">
        <x:v>會自己走。不用管。</x:v>
      </x:c>
    </x:row>
    <x:row r="7" ht="34" customHeight="1">
      <x:c r="A7" s="26" t="str">
        <x:v>YT-002</x:v>
      </x:c>
      <x:c r="B7" s="26" t="str">
        <x:v>阿岑</x:v>
      </x:c>
      <x:c r="C7" s="26" t="str">
        <x:v>西屯頂樓墜樓案</x:v>
      </x:c>
      <x:c r="D7" s="26" t="str">
        <x:v>2026/02/03</x:v>
      </x:c>
      <x:c r="E7" s="26" t="str">
        <x:v>留居</x:v>
      </x:c>
      <x:c r="F7" s="26" t="str">
        <x:v>大學生</x:v>
      </x:c>
      <x:c r="G7" s="26" t="str">
        <x:v>不甘心所有人都把他的死當成一句『想不開』</x:v>
      </x:c>
      <x:c r="H7" s="26" t="str">
        <x:v>中高</x:v>
      </x:c>
      <x:c r="I7" s="26" t="str">
        <x:v>城牆西側小院</x:v>
      </x:c>
      <x:c r="J7" s="26" t="str">
        <x:v>是</x:v>
      </x:c>
      <x:c r="K7" s="26" t="str">
        <x:v>渚瀾</x:v>
      </x:c>
      <x:c r="L7" s="26" t="str">
        <x:v>話很多。還活得比某些活人像活人。</x:v>
      </x:c>
    </x:row>
    <x:row r="8" ht="34" customHeight="1">
      <x:c r="A8" s="26" t="str">
        <x:v>YT-003</x:v>
      </x:c>
      <x:c r="B8" s="26" t="str">
        <x:v>無名女童</x:v>
      </x:c>
      <x:c r="C8" s="26" t="str">
        <x:v>北區老公寓地縛案</x:v>
      </x:c>
      <x:c r="D8" s="26" t="str">
        <x:v>2026/02/26</x:v>
      </x:c>
      <x:c r="E8" s="26" t="str">
        <x:v>暫居</x:v>
      </x:c>
      <x:c r="F8" s="26" t="str">
        <x:v>不明</x:v>
      </x:c>
      <x:c r="G8" s="26" t="str">
        <x:v>等一個根本不會回來接她的人</x:v>
      </x:c>
      <x:c r="H8" s="26" t="str">
        <x:v>中</x:v>
      </x:c>
      <x:c r="I8" s="26" t="str">
        <x:v>河岸紙燈街</x:v>
      </x:c>
      <x:c r="J8" s="26" t="str">
        <x:v>需陪同</x:v>
      </x:c>
      <x:c r="K8" s="26" t="str">
        <x:v>花楀／渚瀾</x:v>
      </x:c>
      <x:c r="L8" s="26" t="str">
        <x:v>花楀每次去都帶糖。太甜。</x:v>
      </x:c>
    </x:row>
    <x:row r="9" ht="34" customHeight="1">
      <x:c r="A9" s="26" t="str">
        <x:v>YT-004</x:v>
      </x:c>
      <x:c r="B9" s="26" t="str">
        <x:v>周先生</x:v>
      </x:c>
      <x:c r="C9" s="26" t="str">
        <x:v>南屯工廠火災案</x:v>
      </x:c>
      <x:c r="D9" s="26" t="str">
        <x:v>2026/03/11</x:v>
      </x:c>
      <x:c r="E9" s="26" t="str">
        <x:v>觀察中</x:v>
      </x:c>
      <x:c r="F9" s="26" t="str">
        <x:v>工廠技師</x:v>
      </x:c>
      <x:c r="G9" s="26" t="str">
        <x:v>想確認當年火災不是自己造成</x:v>
      </x:c>
      <x:c r="H9" s="26" t="str">
        <x:v>高</x:v>
      </x:c>
      <x:c r="I9" s="26" t="str">
        <x:v>工坊區</x:v>
      </x:c>
      <x:c r="J9" s="26" t="str">
        <x:v>是</x:v>
      </x:c>
      <x:c r="K9" s="26" t="str">
        <x:v>褚日央／渚瀾</x:v>
      </x:c>
      <x:c r="L9" s="26" t="str">
        <x:v>已經開始幫別人修門。</x:v>
      </x:c>
    </x:row>
    <x:row r="10" ht="34" customHeight="1">
      <x:c r="A10" s="26" t="str">
        <x:v>YT-005</x:v>
      </x:c>
      <x:c r="B10" s="26" t="str">
        <x:v>紅衣女人</x:v>
      </x:c>
      <x:c r="C10" s="26" t="str">
        <x:v>老戲院重複死亡案</x:v>
      </x:c>
      <x:c r="D10" s="26" t="str">
        <x:v>2026/03/29</x:v>
      </x:c>
      <x:c r="E10" s="26" t="str">
        <x:v>留居</x:v>
      </x:c>
      <x:c r="F10" s="26" t="str">
        <x:v>劇團演員</x:v>
      </x:c>
      <x:c r="G10" s="26" t="str">
        <x:v>想等真正殺她的人承認</x:v>
      </x:c>
      <x:c r="H10" s="26" t="str">
        <x:v>高</x:v>
      </x:c>
      <x:c r="I10" s="26" t="str">
        <x:v>舊戲台後巷</x:v>
      </x:c>
      <x:c r="J10" s="26" t="str">
        <x:v>限制</x:v>
      </x:c>
      <x:c r="K10" s="26" t="str">
        <x:v>鶕綾／渚瀾</x:v>
      </x:c>
      <x:c r="L10" s="26" t="str">
        <x:v>不要讓她靠近新來的。</x:v>
      </x:c>
    </x:row>
    <x:row r="11" ht="34" customHeight="1">
      <x:c r="A11" s="26" t="str">
        <x:v>YT-006</x:v>
      </x:c>
      <x:c r="B11" s="26" t="str">
        <x:v>小賀</x:v>
      </x:c>
      <x:c r="C11" s="26" t="str">
        <x:v>東區橋下溺亡案</x:v>
      </x:c>
      <x:c r="D11" s="26" t="str">
        <x:v>2026/04/17</x:v>
      </x:c>
      <x:c r="E11" s="26" t="str">
        <x:v>已離開</x:v>
      </x:c>
      <x:c r="F11" s="26" t="str">
        <x:v>外送員</x:v>
      </x:c>
      <x:c r="G11" s="26" t="str">
        <x:v>想再看一次母親</x:v>
      </x:c>
      <x:c r="H11" s="26" t="str">
        <x:v>高</x:v>
      </x:c>
      <x:c r="I11" s="26" t="str">
        <x:v>—</x:v>
      </x:c>
      <x:c r="J11" s="26" t="str">
        <x:v>已離開</x:v>
      </x:c>
      <x:c r="K11" s="26" t="str">
        <x:v>渚瀾</x:v>
      </x:c>
      <x:c r="L11" s="26" t="str">
        <x:v>自己走的。很好。</x:v>
      </x:c>
    </x:row>
    <x:row r="12" ht="34" customHeight="1">
      <x:c r="A12" s="26" t="str">
        <x:v>YT-007</x:v>
      </x:c>
      <x:c r="B12" s="26" t="str">
        <x:v>方姨</x:v>
      </x:c>
      <x:c r="C12" s="26" t="str">
        <x:v>老市場失蹤案</x:v>
      </x:c>
      <x:c r="D12" s="26" t="str">
        <x:v>2026/05/02</x:v>
      </x:c>
      <x:c r="E12" s="26" t="str">
        <x:v>留居</x:v>
      </x:c>
      <x:c r="F12" s="26" t="str">
        <x:v>早餐店老闆</x:v>
      </x:c>
      <x:c r="G12" s="26" t="str">
        <x:v>放心不下沒人接手的攤子</x:v>
      </x:c>
      <x:c r="H12" s="26" t="str">
        <x:v>中高</x:v>
      </x:c>
      <x:c r="I12" s="26" t="str">
        <x:v>南門早餐鋪</x:v>
      </x:c>
      <x:c r="J12" s="26" t="str">
        <x:v>是</x:v>
      </x:c>
      <x:c r="K12" s="26" t="str">
        <x:v>玳敕青／渚瀾</x:v>
      </x:c>
      <x:c r="L12" s="26" t="str">
        <x:v>每天五點起床。吵。</x:v>
      </x:c>
    </x:row>
    <x:row r="13" ht="34" customHeight="1">
      <x:c r="A13" s="26" t="str">
        <x:v>YT-008</x:v>
      </x:c>
      <x:c r="B13" s="26" t="str">
        <x:v>十九</x:v>
      </x:c>
      <x:c r="C13" s="26" t="str">
        <x:v>廢棄安養院群體執念案</x:v>
      </x:c>
      <x:c r="D13" s="26" t="str">
        <x:v>2026/05/24</x:v>
      </x:c>
      <x:c r="E13" s="26" t="str">
        <x:v>留居</x:v>
      </x:c>
      <x:c r="F13" s="26" t="str">
        <x:v>看護</x:v>
      </x:c>
      <x:c r="G13" s="26" t="str">
        <x:v>想把最後沒叫到名字的病患記完</x:v>
      </x:c>
      <x:c r="H13" s="26" t="str">
        <x:v>高</x:v>
      </x:c>
      <x:c r="I13" s="26" t="str">
        <x:v>醫館旁小宅</x:v>
      </x:c>
      <x:c r="J13" s="26" t="str">
        <x:v>是</x:v>
      </x:c>
      <x:c r="K13" s="26" t="str">
        <x:v>松聽簷／渚瀾</x:v>
      </x:c>
      <x:c r="L13" s="26" t="str">
        <x:v>記性比花楀好。</x:v>
      </x:c>
    </x:row>
    <x:row r="14" ht="34" customHeight="1">
      <x:c r="A14" s="26" t="str">
        <x:v>YT-009</x:v>
      </x:c>
      <x:c r="B14" s="26" t="str">
        <x:v>林景衡</x:v>
      </x:c>
      <x:c r="C14" s="26" t="str">
        <x:v>海邊民宿雙人自殺案</x:v>
      </x:c>
      <x:c r="D14" s="26" t="str">
        <x:v>2026/06/09</x:v>
      </x:c>
      <x:c r="E14" s="26" t="str">
        <x:v>觀察中</x:v>
      </x:c>
      <x:c r="F14" s="26" t="str">
        <x:v>攝影師</x:v>
      </x:c>
      <x:c r="G14" s="26" t="str">
        <x:v>不接受另一人替自己決定死亡</x:v>
      </x:c>
      <x:c r="H14" s="26" t="str">
        <x:v>極高</x:v>
      </x:c>
      <x:c r="I14" s="26" t="str">
        <x:v>北城望樓</x:v>
      </x:c>
      <x:c r="J14" s="26" t="str">
        <x:v>限制</x:v>
      </x:c>
      <x:c r="K14" s="26" t="str">
        <x:v>渚瀾</x:v>
      </x:c>
      <x:c r="L14" s="26" t="str">
        <x:v>有事做就不鬧。給他相機了。</x:v>
      </x:c>
    </x:row>
    <x:row r="15" ht="34" customHeight="1">
      <x:c r="A15" s="26" t="str">
        <x:v>YT-010</x:v>
      </x:c>
      <x:c r="B15" s="26" t="str">
        <x:v>陳墨</x:v>
      </x:c>
      <x:c r="C15" s="26" t="str">
        <x:v>鏡中侵識案</x:v>
      </x:c>
      <x:c r="D15" s="26" t="str">
        <x:v>2026/06/28</x:v>
      </x:c>
      <x:c r="E15" s="26" t="str">
        <x:v>暫居</x:v>
      </x:c>
      <x:c r="F15" s="26" t="str">
        <x:v>自由接案設計師</x:v>
      </x:c>
      <x:c r="G15" s="26" t="str">
        <x:v>分不清自己真正想要的人生是哪一個</x:v>
      </x:c>
      <x:c r="H15" s="26" t="str">
        <x:v>中</x:v>
      </x:c>
      <x:c r="I15" s="26" t="str">
        <x:v>鏡湖東岸</x:v>
      </x:c>
      <x:c r="J15" s="26" t="str">
        <x:v>需陪同</x:v>
      </x:c>
      <x:c r="K15" s="26" t="str">
        <x:v>褚日央</x:v>
      </x:c>
      <x:c r="L15" s="26" t="str">
        <x:v>離鏡子遠一點就正常。</x:v>
      </x:c>
    </x:row>
    <x:row r="16" ht="34" customHeight="1">
      <x:c r="A16" s="26" t="str">
        <x:v>YT-011</x:v>
      </x:c>
      <x:c r="B16" s="26" t="str">
        <x:v>蘇婆婆</x:v>
      </x:c>
      <x:c r="C16" s="26" t="str">
        <x:v>舊宅守靈案</x:v>
      </x:c>
      <x:c r="D16" s="26" t="str">
        <x:v>2026/07/15</x:v>
      </x:c>
      <x:c r="E16" s="26" t="str">
        <x:v>留居</x:v>
      </x:c>
      <x:c r="F16" s="26" t="str">
        <x:v>退休教師</x:v>
      </x:c>
      <x:c r="G16" s="26" t="str">
        <x:v>想等學生回來說聲畢業</x:v>
      </x:c>
      <x:c r="H16" s="26" t="str">
        <x:v>中高</x:v>
      </x:c>
      <x:c r="I16" s="26" t="str">
        <x:v>書院區</x:v>
      </x:c>
      <x:c r="J16" s="26" t="str">
        <x:v>是</x:v>
      </x:c>
      <x:c r="K16" s="26" t="str">
        <x:v>花楀／渚瀾</x:v>
      </x:c>
      <x:c r="L16" s="26" t="str">
        <x:v>會幫小孩改作文。很嚴格。</x:v>
      </x:c>
    </x:row>
    <x:row r="17" ht="34" customHeight="1">
      <x:c r="A17" s="26" t="str">
        <x:v>YT-012</x:v>
      </x:c>
      <x:c r="B17" s="26" t="str">
        <x:v>『三樓那個』</x:v>
      </x:c>
      <x:c r="C17" s="26" t="str">
        <x:v>中區套房連續失眠案</x:v>
      </x:c>
      <x:c r="D17" s="26" t="str">
        <x:v>2026/07/31</x:v>
      </x:c>
      <x:c r="E17" s="26" t="str">
        <x:v>觀察中</x:v>
      </x:c>
      <x:c r="F17" s="26" t="str">
        <x:v>不明</x:v>
      </x:c>
      <x:c r="G17" s="26" t="str">
        <x:v>只要有人記得它存在</x:v>
      </x:c>
      <x:c r="H17" s="26" t="str">
        <x:v>低中</x:v>
      </x:c>
      <x:c r="I17" s="26" t="str">
        <x:v>西巷空屋</x:v>
      </x:c>
      <x:c r="J17" s="26" t="str">
        <x:v>限制</x:v>
      </x:c>
      <x:c r="K17" s="26" t="str">
        <x:v>婪煙／渚瀾</x:v>
      </x:c>
      <x:c r="L17" s="26" t="str">
        <x:v>名字還是不肯講。隨便。</x:v>
      </x:c>
    </x:row>
    <x:row r="18" ht="34" customHeight="1">
      <x:c r="A18" s="26" t="str">
        <x:v>YT-013</x:v>
      </x:c>
      <x:c r="B18" s="26" t="str">
        <x:v>許澄</x:v>
      </x:c>
      <x:c r="C18" s="26" t="str">
        <x:v>河堤車禍地縛案</x:v>
      </x:c>
      <x:c r="D18" s="26" t="str">
        <x:v>2026/08/12</x:v>
      </x:c>
      <x:c r="E18" s="26" t="str">
        <x:v>留居</x:v>
      </x:c>
      <x:c r="F18" s="26" t="str">
        <x:v>救護員</x:v>
      </x:c>
      <x:c r="G18" s="26" t="str">
        <x:v>想確認當晚救下的孩子活著</x:v>
      </x:c>
      <x:c r="H18" s="26" t="str">
        <x:v>高</x:v>
      </x:c>
      <x:c r="I18" s="26" t="str">
        <x:v>河岸醫棚</x:v>
      </x:c>
      <x:c r="J18" s="26" t="str">
        <x:v>是</x:v>
      </x:c>
      <x:c r="K18" s="26" t="str">
        <x:v>冥濠／渚瀾</x:v>
      </x:c>
      <x:c r="L18" s="26" t="str">
        <x:v>確認了。還是不走。</x:v>
      </x:c>
    </x:row>
    <x:row r="19" ht="34" customHeight="1">
      <x:c r="A19" s="26" t="str">
        <x:v>YT-014</x:v>
      </x:c>
      <x:c r="B19" s="26" t="str">
        <x:v>莫青禾</x:v>
      </x:c>
      <x:c r="C19" s="26" t="str">
        <x:v>山區祭祀失控案</x:v>
      </x:c>
      <x:c r="D19" s="26" t="str">
        <x:v>2026/08/27</x:v>
      </x:c>
      <x:c r="E19" s="26" t="str">
        <x:v>暫居</x:v>
      </x:c>
      <x:c r="F19" s="26" t="str">
        <x:v>民俗研究生</x:v>
      </x:c>
      <x:c r="G19" s="26" t="str">
        <x:v>還想完成被中斷的田野筆記</x:v>
      </x:c>
      <x:c r="H19" s="26" t="str">
        <x:v>極高</x:v>
      </x:c>
      <x:c r="I19" s="26" t="str">
        <x:v>北山觀測屋</x:v>
      </x:c>
      <x:c r="J19" s="26" t="str">
        <x:v>是</x:v>
      </x:c>
      <x:c r="K19" s="26" t="str">
        <x:v>玳敕青／渚瀾</x:v>
      </x:c>
      <x:c r="L19" s="26" t="str">
        <x:v>每天都在寫。很好。</x:v>
      </x:c>
    </x:row>
    <x:row r="20" ht="34" customHeight="1">
      <x:c r="A20" s="26" t="str">
        <x:v>YT-015</x:v>
      </x:c>
      <x:c r="B20" s="26" t="str">
        <x:v>白桃</x:v>
      </x:c>
      <x:c r="C20" s="26" t="str">
        <x:v>甜點店火災附著靈</x:v>
      </x:c>
      <x:c r="D20" s="26" t="str">
        <x:v>2026/09/01</x:v>
      </x:c>
      <x:c r="E20" s="26" t="str">
        <x:v>留居</x:v>
      </x:c>
      <x:c r="F20" s="26" t="str">
        <x:v>甜點師</x:v>
      </x:c>
      <x:c r="G20" s="26" t="str">
        <x:v>想重做一次沒完成的草莓蛋糕</x:v>
      </x:c>
      <x:c r="H20" s="26" t="str">
        <x:v>高</x:v>
      </x:c>
      <x:c r="I20" s="26" t="str">
        <x:v>南街小廚房</x:v>
      </x:c>
      <x:c r="J20" s="26" t="str">
        <x:v>是</x:v>
      </x:c>
      <x:c r="K20" s="26" t="str">
        <x:v>午未／渚瀾</x:v>
      </x:c>
      <x:c r="L20" s="26" t="str">
        <x:v>天帝來太勤。很煩。</x:v>
      </x:c>
    </x:row>
    <x:row r="21" ht="34" customHeight="1">
      <x:c r="A21" s="26" t="str">
        <x:v>YT-016</x:v>
      </x:c>
      <x:c r="B21" s="26" t="str">
        <x:v>季晚</x:v>
      </x:c>
      <x:c r="C21" s="26" t="str">
        <x:v>地下停車場失蹤案</x:v>
      </x:c>
      <x:c r="D21" s="26" t="str">
        <x:v>2026/09/03</x:v>
      </x:c>
      <x:c r="E21" s="26" t="str">
        <x:v>觀察中</x:v>
      </x:c>
      <x:c r="F21" s="26" t="str">
        <x:v>保險業務</x:v>
      </x:c>
      <x:c r="G21" s="26" t="str">
        <x:v>想知道自己究竟是被害還是意外</x:v>
      </x:c>
      <x:c r="H21" s="26" t="str">
        <x:v>中高</x:v>
      </x:c>
      <x:c r="I21" s="26" t="str">
        <x:v>東城客舍</x:v>
      </x:c>
      <x:c r="J21" s="26" t="str">
        <x:v>需陪同</x:v>
      </x:c>
      <x:c r="K21" s="26" t="str">
        <x:v>松聽簷</x:v>
      </x:c>
      <x:c r="L21" s="26" t="str">
        <x:v>先住。不要亂跑。</x:v>
      </x:c>
    </x:row>
    <x:row r="22" ht="34" customHeight="1">
      <x:c r="A22" s="28" t="str">
        <x:v>YT-017</x:v>
      </x:c>
      <x:c r="B22" s="28" t="str">
        <x:v>無名少年</x:v>
      </x:c>
      <x:c r="C22" s="28" t="str">
        <x:v>封印崩解事件</x:v>
      </x:c>
      <x:c r="D22" s="28" t="str">
        <x:v>2026/09/04</x:v>
      </x:c>
      <x:c r="E22" s="28" t="str">
        <x:v>緊急暫收</x:v>
      </x:c>
      <x:c r="F22" s="28" t="str">
        <x:v>不明</x:v>
      </x:c>
      <x:c r="G22" s="28" t="str">
        <x:v>拒絕被任何一界接管</x:v>
      </x:c>
      <x:c r="H22" s="28" t="str">
        <x:v>極高</x:v>
      </x:c>
      <x:c r="I22" s="28" t="str">
        <x:v>內城封閉院</x:v>
      </x:c>
      <x:c r="J22" s="28" t="str">
        <x:v>否</x:v>
      </x:c>
      <x:c r="K22" s="28" t="str">
        <x:v>鶕綾／渚瀾</x:v>
      </x:c>
      <x:c r="L22" s="28" t="str">
        <x:v>醒了再問。現在很吵。</x:v>
      </x:c>
    </x:row>
  </x:sheetData>
  <x:mergeCells>
    <x:mergeCell ref="A1:L1"/>
    <x:mergeCell ref="A2:L2"/>
  </x:mergeCells>
  <x:conditionalFormatting sqref="E6:E22">
    <x:cfRule type="expression" dxfId="0" priority="1">
      <x:formula>E6="已離開"</x:formula>
    </x:cfRule>
    <x:cfRule type="expression" dxfId="1" priority="2">
      <x:formula>E6="緊急暫收"</x:formula>
    </x:cfRule>
    <x:cfRule type="expression" dxfId="2" priority="3">
      <x:formula>E6="觀察中"</x:formula>
    </x:cfRule>
  </x:conditionalFormatting>
  <x:conditionalFormatting sqref="J6:J22">
    <x:cfRule type="expression" dxfId="3" priority="4">
      <x:formula>J6="否"</x:formula>
    </x:cfRule>
  </x:conditionalFormatting>
  <x:dataValidations count="2">
    <x:dataValidation type="list" sqref="E6:E100">
      <x:formula1>"留居,暫居,觀察中,已離開,緊急暫收"</x:formula1>
    </x:dataValidation>
    <x:dataValidation type="list" sqref="J6:J100">
      <x:formula1>"是,需陪同,限制,否,已離開"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4" t="str">
        <x:v>魚塘異空間｜2026 收容概況</x:v>
      </x:c>
      <x:c r="B1" s="4"/>
      <x:c r="C1" s="4"/>
      <x:c r="D1" s="4"/>
      <x:c r="E1" s="4"/>
      <x:c r="F1" s="4"/>
      <x:c r="G1" s="4"/>
      <x:c r="H1" s="4"/>
    </x:row>
    <x:row r="3">
      <x:c r="A3" s="17" t="str">
        <x:v>指標</x:v>
      </x:c>
      <x:c r="B3" s="17" t="str">
        <x:v>數值</x:v>
      </x:c>
    </x:row>
    <x:row r="4">
      <x:c r="A4" s="24" t="str">
        <x:v>目前名單總數</x:v>
      </x:c>
      <x:c r="B4" s="24" t="n">
        <x:f>COUNTA('魚塘人員名單'!B6:B22)</x:f>
        <x:v>17</x:v>
      </x:c>
    </x:row>
    <x:row r="5">
      <x:c r="A5" s="24" t="str">
        <x:v>仍在魚塘</x:v>
      </x:c>
      <x:c r="B5" s="24" t="n">
        <x:f>B4-B6</x:f>
        <x:v>16</x:v>
      </x:c>
    </x:row>
    <x:row r="6">
      <x:c r="A6" s="24" t="str">
        <x:v>已離開</x:v>
      </x:c>
      <x:c r="B6" s="24" t="n">
        <x:f>COUNTIF('魚塘人員名單'!E6:E22,"已離開")</x:f>
        <x:v>1</x:v>
      </x:c>
    </x:row>
    <x:row r="7">
      <x:c r="A7" s="24" t="str">
        <x:v>觀察中</x:v>
      </x:c>
      <x:c r="B7" s="24" t="n">
        <x:f>COUNTIF('魚塘人員名單'!E6:E22,"觀察中")</x:f>
        <x:v>4</x:v>
      </x:c>
    </x:row>
    <x:row r="8">
      <x:c r="A8" s="24" t="str">
        <x:v>緊急暫收</x:v>
      </x:c>
      <x:c r="B8" s="24" t="n">
        <x:f>COUNTIF('魚塘人員名單'!E6:E22,"緊急暫收")</x:f>
        <x:v>1</x:v>
      </x:c>
    </x:row>
    <x:row r="9">
      <x:c r="A9" s="24" t="str">
        <x:v>高／極高行動意志</x:v>
      </x:c>
      <x:c r="B9" s="24" t="n">
        <x:f>COUNTIF('魚塘人員名單'!H6:H22,"高")+COUNTIF('魚塘人員名單'!H6:H22,"極高")</x:f>
        <x:v>10</x:v>
      </x:c>
    </x:row>
    <x:row r="10">
      <x:c r="A10" s="24" t="str">
        <x:v>允許自由離開</x:v>
      </x:c>
      <x:c r="B10" s="24" t="n">
        <x:f>COUNTIF('魚塘人員名單'!J6:J22,"是")</x:f>
        <x:v>9</x:v>
      </x:c>
    </x:row>
    <x:row r="12">
      <x:c r="A12" s="34" t="str">
        <x:v>渚瀾備註</x:v>
      </x:c>
      <x:c r="B12" s="34"/>
      <x:c r="C12" s="34"/>
      <x:c r="D12" s="34"/>
      <x:c r="E12" s="34"/>
      <x:c r="F12" s="34"/>
      <x:c r="G12" s="34"/>
      <x:c r="H12" s="34"/>
    </x:row>
    <x:row r="13">
      <x:c r="A13" s="41" t="str">
        <x:v>魚塘不是監獄。能走的人自己會走，不想走的就先住。真正麻煩的不是死了的人，是明明還有想做的事，卻不知道該去哪裡的人。不要一天三次跑來問我誰可以出去；名單上寫了。</x:v>
      </x:c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</x:sheetData>
  <x:mergeCells>
    <x:mergeCell ref="A1:H1"/>
    <x:mergeCell ref="A12:H12"/>
    <x:mergeCell ref="A13:H17"/>
  </x:mergeCells>
  <x:pageMargins left="0.7" right="0.7" top="0.75" bottom="0.75" header="0.3" footer="0.3"/>
  <x:drawing xmlns:r="http://schemas.openxmlformats.org/officeDocument/2006/relationships" r:id="R27d956e047b24871"/>
</x:worksheet>
</file>