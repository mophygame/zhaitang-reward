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be4048336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月功德KPI" sheetId="1" r:id="R8a1b459fab5742bb"/>
    <x:sheet xmlns:r="http://schemas.openxmlformats.org/officeDocument/2006/relationships" name="裘芨備註" sheetId="2" r:id="R16fd7a391179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5">
    <x:font>
      <x:sz val="11"/>
      <x:name val="Carlito"/>
    </x:font>
    <x:font>
      <x:b/>
      <x:sz val="16"/>
      <x:color rgb="FFFFFFFF"/>
      <x:name val="Microsoft JhengHei"/>
    </x:font>
    <x:font>
      <x:i/>
      <x:sz val="11"/>
      <x:color rgb="FF5A4A2F"/>
      <x:name val="Microsoft JhengHei"/>
    </x:font>
    <x:font>
      <x:b/>
      <x:sz val="11"/>
      <x:color rgb="FFFFFFFF"/>
      <x:name val="Microsoft JhengHei"/>
    </x:font>
    <x:font>
      <x:sz val="10"/>
      <x:name val="Microsoft JhengHei"/>
    </x:font>
    <x:font>
      <x:b/>
      <x:sz val="10"/>
      <x:name val="Microsoft JhengHei"/>
    </x:font>
    <x:font>
      <x:b/>
      <x:sz val="10"/>
      <x:color rgb="FFFFFFFF"/>
      <x:name val="Microsoft JhengHei"/>
    </x:font>
    <x:font>
      <x:i/>
      <x:sz val="10"/>
      <x:color rgb="FF5A4A2F"/>
      <x:name val="Microsoft JhengHei"/>
    </x:font>
    <x:font>
      <x:b/>
      <x:sz val="16"/>
      <x:color rgb="FFD9B45B"/>
      <x:name val="Microsoft JhengHei"/>
    </x:font>
    <x:font>
      <x:i/>
      <x:sz val="10"/>
      <x:color rgb="FF5D481B"/>
      <x:name val="Microsoft JhengHei"/>
    </x:font>
    <x:font>
      <x:b/>
      <x:sz val="10"/>
      <x:color rgb="FF4E3A13"/>
      <x:name val="Microsoft JhengHei"/>
    </x:font>
    <x:font>
      <x:b/>
      <x:sz val="10"/>
      <x:color rgb="FFE4C66A"/>
      <x:name val="Microsoft JhengHei"/>
    </x:font>
    <x:font>
      <x:sz val="9"/>
      <x:color rgb="FF493A1B"/>
      <x:name val="Microsoft JhengHei"/>
    </x:font>
    <x:font>
      <x:i/>
      <x:sz val="9"/>
      <x:color rgb="FF5B4A27"/>
      <x:name val="Microsoft JhengHei"/>
    </x:font>
    <x:font>
      <x:b/>
      <x:sz val="15"/>
      <x:color rgb="FFD9B45B"/>
      <x:name val="Microsoft Jheng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EFE7D4"/>
      </x:patternFill>
    </x:fill>
    <x:fill>
      <x:patternFill patternType="solid">
        <x:fgColor rgb="FFB08D57"/>
      </x:patternFill>
    </x:fill>
    <x:fill>
      <x:patternFill patternType="solid">
        <x:fgColor rgb="FFECECEC"/>
      </x:patternFill>
    </x:fill>
    <x:fill>
      <x:patternFill patternType="solid">
        <x:fgColor rgb="FF1D1D1D"/>
      </x:patternFill>
    </x:fill>
    <x:fill>
      <x:patternFill patternType="solid">
        <x:fgColor rgb="FFF3E8C8"/>
      </x:patternFill>
    </x:fill>
    <x:fill>
      <x:patternFill patternType="solid">
        <x:fgColor rgb="FFB08D3E"/>
      </x:patternFill>
    </x:fill>
    <x:fill>
      <x:patternFill patternType="solid">
        <x:fgColor rgb="FFF1E8D2"/>
      </x:patternFill>
    </x:fill>
    <x:fill>
      <x:patternFill patternType="solid">
        <x:fgColor rgb="FF2A2A2A"/>
      </x:patternFill>
    </x:fill>
    <x:fill>
      <x:patternFill patternType="solid">
        <x:fgColor rgb="FFFAF4E5"/>
      </x:patternFill>
    </x:fill>
    <x:fill>
      <x:patternFill patternType="solid">
        <x:fgColor rgb="FFFFF9EB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200" fontId="4" fillId="0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/>
    <x:xf numFmtId="200" fontId="5" fillId="9" borderId="0" xfId="0" applyNumberFormat="1" applyFont="1" applyFill="1" applyBorder="1"/>
    <x:xf numFmtId="0" fontId="10" fillId="9" borderId="0" xfId="0" applyNumberFormat="1" applyFont="1" applyFill="1" applyBorder="1"/>
    <x:xf numFmtId="200" fontId="10" fillId="9" borderId="0" xfId="0" applyNumberFormat="1" applyFont="1" applyFill="1" applyBorder="1"/>
    <x:xf numFmtId="0" fontId="4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12" fillId="11" borderId="0" xfId="0" applyNumberFormat="1" applyFont="1" applyFill="1" applyBorder="1"/>
    <x:xf numFmtId="0" fontId="4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D1E7DD"/>
        </x:patternFill>
      </x:fill>
    </x:dxf>
    <x:dxf>
      <x:fill>
        <x:patternFill>
          <x:bgColor rgb="FFFFF3CD"/>
        </x:patternFill>
      </x:fill>
    </x:dxf>
    <x:dxf>
      <x:fill>
        <x:patternFill patternType="solid">
          <x:bgColor rgb="FFD7E8C5"/>
        </x:patternFill>
      </x:fill>
    </x:dxf>
    <x:dxf>
      <x:fill>
        <x:patternFill patternType="solid">
          <x:bgColor rgb="FFE6E6E6"/>
        </x:patternFill>
      </x:fill>
    </x:dxf>
    <x:dxf>
      <x:fill>
        <x:patternFill patternType="solid">
          <x:bgColor rgb="FFF7E7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4f83f776d4a48" /><Relationship Type="http://schemas.openxmlformats.org/officeDocument/2006/relationships/theme" Target="/xl/theme/theme1.xml" Id="R3ed964bcdadf4026" /><Relationship Type="http://schemas.openxmlformats.org/officeDocument/2006/relationships/sharedStrings" Target="/xl/sharedStrings.xml" Id="R576e46ae06d649e2" /><Relationship Type="http://schemas.openxmlformats.org/officeDocument/2006/relationships/worksheet" Target="/xl/worksheets/sheet1.xml" Id="R8a1b459fab5742bb" /><Relationship Type="http://schemas.openxmlformats.org/officeDocument/2006/relationships/worksheet" Target="/xl/worksheets/sheet2.xml" Id="R16fd7a39117948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fba221d3ac4b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本月功德：目標 vs 目前｜裘芨核定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職務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'本月功德KPI'!$B$6:$B$15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本月目標功德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'本月功德KPI'!$C$6:$C$15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目前功德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'本月功德KPI'!$D$6:$D$15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fba221d3ac4b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2c1913218c4de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38" hidden="0" customWidth="1"/>
  </x:cols>
  <x:sheetData>
    <x:row r="1" ht="25" customHeight="1">
      <x:c r="A1" s="52" t="str">
        <x:v>齋堂房屋｜2026年9月功德KPI｜最終核定版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5" customHeight="1">
      <x:c r="A2" s="54" t="str">
        <x:v>寄件人：裘芨｜版本：FINAL_v3｜『不要用花楀那份。我重新核過。誰再改公式我就把他算進下個月KPI。』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 ht="31" customHeight="1">
      <x:c r="A5" s="55" t="str">
        <x:v>員工</x:v>
      </x:c>
      <x:c r="B5" s="55" t="str">
        <x:v>職務</x:v>
      </x:c>
      <x:c r="C5" s="55" t="str">
        <x:v>本月目標功德</x:v>
      </x:c>
      <x:c r="D5" s="55" t="str">
        <x:v>目前功德</x:v>
      </x:c>
      <x:c r="E5" s="55" t="str">
        <x:v>達成率</x:v>
      </x:c>
      <x:c r="F5" s="55" t="str">
        <x:v>剩餘功德</x:v>
      </x:c>
      <x:c r="G5" s="55" t="str">
        <x:v>案件數</x:v>
      </x:c>
      <x:c r="H5" s="55" t="str">
        <x:v>極凶屋件數</x:v>
      </x:c>
      <x:c r="I5" s="55" t="str">
        <x:v>狀態</x:v>
      </x:c>
      <x:c r="J5" s="55" t="str">
        <x:v>裘芨備註</x:v>
      </x:c>
    </x:row>
    <x:row r="6" ht="31" customHeight="1">
      <x:c r="A6" s="26" t="str">
        <x:v>裘芨</x:v>
      </x:c>
      <x:c r="B6" s="26" t="str">
        <x:v>業務行銷經理</x:v>
      </x:c>
      <x:c r="C6" s="30" t="n">
        <x:v>18000</x:v>
      </x:c>
      <x:c r="D6" s="30" t="n">
        <x:v>17640</x:v>
      </x:c>
      <x:c r="E6" s="31" t="n">
        <x:f>D6/C6</x:f>
        <x:v>0.98</x:v>
      </x:c>
      <x:c r="F6" s="30" t="n">
        <x:f>MAX(C6-D6,0)</x:f>
        <x:v>360</x:v>
      </x:c>
      <x:c r="G6" s="30" t="n">
        <x:v>16</x:v>
      </x:c>
      <x:c r="H6" s="30" t="n">
        <x:v>3</x:v>
      </x:c>
      <x:c r="I6" s="30" t="str">
        <x:v>追趕中</x:v>
      </x:c>
      <x:c r="J6" s="26" t="str">
        <x:v>差360。這是我自己核的，不准問。</x:v>
      </x:c>
    </x:row>
    <x:row r="7" ht="31" customHeight="1">
      <x:c r="A7" s="26" t="str">
        <x:v>渚瀾</x:v>
      </x:c>
      <x:c r="B7" s="26" t="str">
        <x:v>店長</x:v>
      </x:c>
      <x:c r="C7" s="30" t="n">
        <x:v>9000</x:v>
      </x:c>
      <x:c r="D7" s="30" t="n">
        <x:v>9010</x:v>
      </x:c>
      <x:c r="E7" s="31" t="n">
        <x:f>D7/C7</x:f>
        <x:v>1.001111111111111</x:v>
      </x:c>
      <x:c r="F7" s="30" t="n">
        <x:f>MAX(C7-D7,0)</x:f>
        <x:v>0</x:v>
      </x:c>
      <x:c r="G7" s="30" t="n">
        <x:v>7</x:v>
      </x:c>
      <x:c r="H7" s="30" t="n">
        <x:v>2</x:v>
      </x:c>
      <x:c r="I7" s="30" t="str">
        <x:v>已達標</x:v>
      </x:c>
      <x:c r="J7" s="26" t="str">
        <x:v>剛好達標就不做了，真的很像他。</x:v>
      </x:c>
    </x:row>
    <x:row r="8" ht="31" customHeight="1">
      <x:c r="A8" s="26" t="str">
        <x:v>鶕綾</x:v>
      </x:c>
      <x:c r="B8" s="26" t="str">
        <x:v>副店長</x:v>
      </x:c>
      <x:c r="C8" s="30" t="n">
        <x:v>30000</x:v>
      </x:c>
      <x:c r="D8" s="30" t="n">
        <x:v>38600</x:v>
      </x:c>
      <x:c r="E8" s="31" t="n">
        <x:f>D8/C8</x:f>
        <x:v>1.2866666666666666</x:v>
      </x:c>
      <x:c r="F8" s="30" t="n">
        <x:f>MAX(C8-D8,0)</x:f>
        <x:v>0</x:v>
      </x:c>
      <x:c r="G8" s="30" t="n">
        <x:v>19</x:v>
      </x:c>
      <x:c r="H8" s="30" t="n">
        <x:v>8</x:v>
      </x:c>
      <x:c r="I8" s="30" t="str">
        <x:v>超標</x:v>
      </x:c>
      <x:c r="J8" s="26" t="str">
        <x:v>不要再刷了，再刷天界真的會來問。</x:v>
      </x:c>
    </x:row>
    <x:row r="9" ht="31" customHeight="1">
      <x:c r="A9" s="26" t="str">
        <x:v>賀止損</x:v>
      </x:c>
      <x:c r="B9" s="26" t="str">
        <x:v>會計</x:v>
      </x:c>
      <x:c r="C9" s="30" t="n">
        <x:v>12000</x:v>
      </x:c>
      <x:c r="D9" s="30" t="n">
        <x:v>12120</x:v>
      </x:c>
      <x:c r="E9" s="31" t="n">
        <x:f>D9/C9</x:f>
        <x:v>1.01</x:v>
      </x:c>
      <x:c r="F9" s="30" t="n">
        <x:f>MAX(C9-D9,0)</x:f>
        <x:v>0</x:v>
      </x:c>
      <x:c r="G9" s="30" t="n">
        <x:v>11</x:v>
      </x:c>
      <x:c r="H9" s="30" t="n">
        <x:v>2</x:v>
      </x:c>
      <x:c r="I9" s="30" t="str">
        <x:v>已達標</x:v>
      </x:c>
      <x:c r="J9" s="26" t="str">
        <x:v>已補齊。不要為120功德去送命。</x:v>
      </x:c>
    </x:row>
    <x:row r="10" ht="31" customHeight="1">
      <x:c r="A10" s="26" t="str">
        <x:v>花楀</x:v>
      </x:c>
      <x:c r="B10" s="26" t="str">
        <x:v>行政秘書</x:v>
      </x:c>
      <x:c r="C10" s="30" t="n">
        <x:v>8000</x:v>
      </x:c>
      <x:c r="D10" s="30" t="n">
        <x:v>8150</x:v>
      </x:c>
      <x:c r="E10" s="31" t="n">
        <x:f>D10/C10</x:f>
        <x:v>1.01875</x:v>
      </x:c>
      <x:c r="F10" s="30" t="n">
        <x:f>MAX(C10-D10,0)</x:f>
        <x:v>0</x:v>
      </x:c>
      <x:c r="G10" s="30" t="n">
        <x:v>10</x:v>
      </x:c>
      <x:c r="H10" s="30" t="n">
        <x:v>1</x:v>
      </x:c>
      <x:c r="I10" s="30" t="str">
        <x:v>已達標</x:v>
      </x:c>
      <x:c r="J10" s="26" t="str">
        <x:v>花楀那件漏登保留，但他的總計不要用。</x:v>
      </x:c>
    </x:row>
    <x:row r="11" ht="31" customHeight="1">
      <x:c r="A11" s="26" t="str">
        <x:v>松聽簷</x:v>
      </x:c>
      <x:c r="B11" s="26" t="str">
        <x:v>業務銷冠</x:v>
      </x:c>
      <x:c r="C11" s="30" t="n">
        <x:v>26000</x:v>
      </x:c>
      <x:c r="D11" s="30" t="n">
        <x:v>31700</x:v>
      </x:c>
      <x:c r="E11" s="31" t="n">
        <x:f>D11/C11</x:f>
        <x:v>1.2192307692307693</x:v>
      </x:c>
      <x:c r="F11" s="30" t="n">
        <x:f>MAX(C11-D11,0)</x:f>
        <x:v>0</x:v>
      </x:c>
      <x:c r="G11" s="30" t="n">
        <x:v>17</x:v>
      </x:c>
      <x:c r="H11" s="30" t="n">
        <x:v>9</x:v>
      </x:c>
      <x:c r="I11" s="30" t="str">
        <x:v>超標</x:v>
      </x:c>
      <x:c r="J11" s="26" t="str">
        <x:v>本月第一。很正常。</x:v>
      </x:c>
    </x:row>
    <x:row r="12" ht="31" customHeight="1">
      <x:c r="A12" s="26" t="str">
        <x:v>婪煙</x:v>
      </x:c>
      <x:c r="B12" s="26" t="str">
        <x:v>業務</x:v>
      </x:c>
      <x:c r="C12" s="30" t="n">
        <x:v>16000</x:v>
      </x:c>
      <x:c r="D12" s="30" t="n">
        <x:v>18220</x:v>
      </x:c>
      <x:c r="E12" s="31" t="n">
        <x:f>D12/C12</x:f>
        <x:v>1.13875</x:v>
      </x:c>
      <x:c r="F12" s="30" t="n">
        <x:f>MAX(C12-D12,0)</x:f>
        <x:v>0</x:v>
      </x:c>
      <x:c r="G12" s="30" t="n">
        <x:v>13</x:v>
      </x:c>
      <x:c r="H12" s="30" t="n">
        <x:v>4</x:v>
      </x:c>
      <x:c r="I12" s="30" t="str">
        <x:v>已達標</x:v>
      </x:c>
      <x:c r="J12" s="26" t="str">
        <x:v>簽約率高得讓人害怕。字面意義。</x:v>
      </x:c>
    </x:row>
    <x:row r="13" ht="31" customHeight="1">
      <x:c r="A13" s="26" t="str">
        <x:v>褚日央</x:v>
      </x:c>
      <x:c r="B13" s="26" t="str">
        <x:v>業務</x:v>
      </x:c>
      <x:c r="C13" s="30" t="n">
        <x:v>15000</x:v>
      </x:c>
      <x:c r="D13" s="30" t="n">
        <x:v>15020</x:v>
      </x:c>
      <x:c r="E13" s="31" t="n">
        <x:f>D13/C13</x:f>
        <x:v>1.0013333333333334</x:v>
      </x:c>
      <x:c r="F13" s="30" t="n">
        <x:f>MAX(C13-D13,0)</x:f>
        <x:v>0</x:v>
      </x:c>
      <x:c r="G13" s="30" t="n">
        <x:v>11</x:v>
      </x:c>
      <x:c r="H13" s="30" t="n">
        <x:v>3</x:v>
      </x:c>
      <x:c r="I13" s="30" t="str">
        <x:v>已達標</x:v>
      </x:c>
      <x:c r="J13" s="26" t="str">
        <x:v>補登有效。影印機維修依舊不算功德。</x:v>
      </x:c>
    </x:row>
    <x:row r="14" ht="31" customHeight="1">
      <x:c r="A14" s="26" t="str">
        <x:v>冥濠</x:v>
      </x:c>
      <x:c r="B14" s="26" t="str">
        <x:v>保全</x:v>
      </x:c>
      <x:c r="C14" s="30" t="n">
        <x:v>10000</x:v>
      </x:c>
      <x:c r="D14" s="30" t="n">
        <x:v>10450</x:v>
      </x:c>
      <x:c r="E14" s="31" t="n">
        <x:f>D14/C14</x:f>
        <x:v>1.045</x:v>
      </x:c>
      <x:c r="F14" s="30" t="n">
        <x:f>MAX(C14-D14,0)</x:f>
        <x:v>0</x:v>
      </x:c>
      <x:c r="G14" s="30" t="n">
        <x:v>8</x:v>
      </x:c>
      <x:c r="H14" s="30" t="n">
        <x:v>2</x:v>
      </x:c>
      <x:c r="I14" s="30" t="str">
        <x:v>已達標</x:v>
      </x:c>
      <x:c r="J14" s="26" t="str">
        <x:v>夜巡功德正常。狼嚎不要算兩次。</x:v>
      </x:c>
    </x:row>
    <x:row r="15" ht="31" customHeight="1">
      <x:c r="A15" s="26" t="str">
        <x:v>玳敕青</x:v>
      </x:c>
      <x:c r="B15" s="26" t="str">
        <x:v>物件開發業務</x:v>
      </x:c>
      <x:c r="C15" s="30" t="n">
        <x:v>17000</x:v>
      </x:c>
      <x:c r="D15" s="30" t="n">
        <x:v>17680</x:v>
      </x:c>
      <x:c r="E15" s="31" t="n">
        <x:f>D15/C15</x:f>
        <x:v>1.04</x:v>
      </x:c>
      <x:c r="F15" s="30" t="n">
        <x:f>MAX(C15-D15,0)</x:f>
        <x:v>0</x:v>
      </x:c>
      <x:c r="G15" s="30" t="n">
        <x:v>12</x:v>
      </x:c>
      <x:c r="H15" s="30" t="n">
        <x:v>5</x:v>
      </x:c>
      <x:c r="I15" s="30" t="str">
        <x:v>已達標</x:v>
      </x:c>
      <x:c r="J15" s="26" t="str">
        <x:v>前勘效率很好，但不要什麼爛攤子都撿。</x:v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58" t="str">
        <x:v>本月團隊目標</x:v>
      </x:c>
      <x:c r="B18" s="58" t="n">
        <x:f>SUM(C6:C15)</x:f>
        <x:v>161000</x:v>
      </x:c>
      <x:c r="C18" s="24"/>
      <x:c r="D18" s="62" t="str">
        <x:v>裘芨最終核對｜有問題先看這裡，不要來敲我桌子</x:v>
      </x:c>
      <x:c r="E18" s="62"/>
      <x:c r="F18" s="62"/>
      <x:c r="G18" s="62"/>
      <x:c r="H18" s="62"/>
      <x:c r="I18" s="62"/>
      <x:c r="J18" s="62"/>
    </x:row>
    <x:row r="19">
      <x:c r="A19" s="58" t="str">
        <x:v>目前團隊功德</x:v>
      </x:c>
      <x:c r="B19" s="58" t="n">
        <x:f>SUM(D6:D15)</x:f>
        <x:v>178590</x:v>
      </x:c>
      <x:c r="C19" s="24"/>
      <x:c r="D19" s="64" t="str">
        <x:v>核對項目</x:v>
      </x:c>
      <x:c r="E19" s="64" t="str">
        <x:v>結果</x:v>
      </x:c>
      <x:c r="F19" s="68" t="str">
        <x:v>附註：本表以截至 2026/09/04 13:20 的登錄資料為準。之後新收的妖、新成交的凶宅、新補登的功德，全部算下一版——不對，沒有下一版。</x:v>
      </x:c>
      <x:c r="G19" s="68"/>
      <x:c r="H19" s="68"/>
      <x:c r="I19" s="68"/>
      <x:c r="J19" s="68"/>
    </x:row>
    <x:row r="20">
      <x:c r="A20" s="58" t="str">
        <x:v>整體達成率</x:v>
      </x:c>
      <x:c r="B20" s="59" t="n">
        <x:f>B19/B18</x:f>
        <x:v>1.109254658385093</x:v>
      </x:c>
      <x:c r="C20" s="24"/>
      <x:c r="D20" s="64" t="str">
        <x:v>功德總額</x:v>
      </x:c>
      <x:c r="E20" s="64" t="str">
        <x:v>已核</x:v>
      </x:c>
      <x:c r="F20" s="68"/>
      <x:c r="G20" s="68"/>
      <x:c r="H20" s="68"/>
      <x:c r="I20" s="68"/>
      <x:c r="J20" s="68"/>
    </x:row>
    <x:row r="21">
      <x:c r="A21" s="58" t="str">
        <x:v>總案件數</x:v>
      </x:c>
      <x:c r="B21" s="58" t="n">
        <x:f>SUM(G6:G15)</x:f>
        <x:v>124</x:v>
      </x:c>
      <x:c r="C21" s="24"/>
      <x:c r="D21" s="64" t="str">
        <x:v>案件總數</x:v>
      </x:c>
      <x:c r="E21" s="64" t="str">
        <x:v>已核</x:v>
      </x:c>
      <x:c r="F21" s="68"/>
      <x:c r="G21" s="68"/>
      <x:c r="H21" s="68"/>
      <x:c r="I21" s="68"/>
      <x:c r="J21" s="68"/>
    </x:row>
    <x:row r="22">
      <x:c r="A22" s="58" t="str">
        <x:v>極凶屋總件數</x:v>
      </x:c>
      <x:c r="B22" s="58" t="n">
        <x:f>SUM(H6:H15)</x:f>
        <x:v>39</x:v>
      </x:c>
      <x:c r="C22" s="24"/>
      <x:c r="D22" s="64" t="str">
        <x:v>極凶屋件數</x:v>
      </x:c>
      <x:c r="E22" s="64" t="str">
        <x:v>已核</x:v>
      </x:c>
      <x:c r="F22" s="68"/>
      <x:c r="G22" s="68"/>
      <x:c r="H22" s="68"/>
      <x:c r="I22" s="68"/>
      <x:c r="J22" s="68"/>
    </x:row>
    <x:row r="23">
      <x:c r="A23" s="58" t="str">
        <x:v>未達標人數</x:v>
      </x:c>
      <x:c r="B23" s="58" t="n">
        <x:f>COUNTIF(I6:I15,"追趕中")</x:f>
        <x:v>1</x:v>
      </x:c>
      <x:c r="C23" s="24"/>
      <x:c r="D23" s="64" t="str">
        <x:v>花楀版本</x:v>
      </x:c>
      <x:c r="E23" s="64" t="str">
        <x:v>禁止引用</x:v>
      </x:c>
      <x:c r="F23" s="68"/>
      <x:c r="G23" s="68"/>
      <x:c r="H23" s="68"/>
      <x:c r="I23" s="68"/>
      <x:c r="J23" s="68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</x:sheetData>
  <x:mergeCells>
    <x:mergeCell ref="A1:J1"/>
    <x:mergeCell ref="A2:J2"/>
    <x:mergeCell ref="D18:J18"/>
    <x:mergeCell ref="F19:J23"/>
  </x:mergeCells>
  <x:conditionalFormatting sqref="E6:E15">
    <x:cfRule type="colorScale" priority="4">
      <x:colorScale>
        <x:cfvo type="min"/>
        <x:cfvo type="percentile" val="50"/>
        <x:cfvo type="max"/>
        <x:color rgb="FFF5CCCC"/>
        <x:color rgb="FFF7E7B2"/>
        <x:color rgb="FFD7E8C5"/>
      </x:colorScale>
    </x:cfRule>
  </x:conditionalFormatting>
  <x:conditionalFormatting sqref="I6:I15">
    <x:cfRule type="expression" dxfId="2" priority="5">
      <x:formula>I6="超標"</x:formula>
    </x:cfRule>
    <x:cfRule type="expression" dxfId="3" priority="6">
      <x:formula>I6="已達標"</x:formula>
    </x:cfRule>
    <x:cfRule type="expression" dxfId="4" priority="7">
      <x:formula>I6="追趕中"</x:formula>
    </x:cfRule>
  </x:conditionalFormatting>
  <x:pageMargins left="0.7" right="0.7" top="0.75" bottom="0.75" header="0.3" footer="0.3"/>
  <x:drawing xmlns:r="http://schemas.openxmlformats.org/officeDocument/2006/relationships" r:id="R482c1913218c4de4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4" hidden="0" customWidth="1"/>
  </x:cols>
  <x:sheetData>
    <x:row r="1">
      <x:c r="A1" s="70" t="str">
        <x:v>裘芨｜版本紀錄與寄件備註</x:v>
      </x:c>
      <x:c r="B1" s="70"/>
      <x:c r="C1" s="70"/>
      <x:c r="D1" s="70"/>
      <x:c r="E1" s="70"/>
      <x:c r="F1" s="70"/>
    </x:row>
    <x:row r="3">
      <x:c r="A3" s="71" t="str">
        <x:v>項目</x:v>
      </x:c>
      <x:c r="B3" s="71" t="str">
        <x:v>內容</x:v>
      </x:c>
    </x:row>
    <x:row r="4">
      <x:c r="A4" s="26" t="str">
        <x:v>檔名</x:v>
      </x:c>
      <x:c r="B4" s="26" t="str">
        <x:v>本月功德KPI_不要用花楀那份.xlsx</x:v>
      </x:c>
    </x:row>
    <x:row r="5">
      <x:c r="A5" s="26" t="str">
        <x:v>寄件人</x:v>
      </x:c>
      <x:c r="B5" s="26" t="str">
        <x:v>裘芨</x:v>
      </x:c>
    </x:row>
    <x:row r="6">
      <x:c r="A6" s="26" t="str">
        <x:v>寄送時間</x:v>
      </x:c>
      <x:c r="B6" s="26" t="str">
        <x:v>2026/09/04 13:27</x:v>
      </x:c>
    </x:row>
    <x:row r="7">
      <x:c r="A7" s="26" t="str">
        <x:v>版本</x:v>
      </x:c>
      <x:c r="B7" s="26" t="str">
        <x:v>FINAL_v3／最終核定</x:v>
      </x:c>
    </x:row>
    <x:row r="8">
      <x:c r="A8" s="26" t="str">
        <x:v>前一版</x:v>
      </x:c>
      <x:c r="B8" s="26" t="str">
        <x:v>本月功德KPI_最終版2.xlsx</x:v>
      </x:c>
    </x:row>
    <x:row r="9">
      <x:c r="A9" s="26" t="str">
        <x:v>中間發生什麼事</x:v>
      </x:c>
      <x:c r="B9" s="26" t="str">
        <x:v>花楀改了一份。</x:v>
      </x:c>
    </x:row>
    <x:row r="10">
      <x:c r="A10" s="26" t="str">
        <x:v>裘芨處置</x:v>
      </x:c>
      <x:c r="B10" s="26" t="str">
        <x:v>不用。</x:v>
      </x:c>
    </x:row>
    <x:row r="11">
      <x:c r="A11" s="26" t="str">
        <x:v>本次修正</x:v>
      </x:c>
      <x:c r="B11" s="26" t="str">
        <x:v>重新核對總功德、案件數、極凶屋數及最新補登資料。</x:v>
      </x:c>
    </x:row>
    <x:row r="12">
      <x:c r="A12" s="26" t="str">
        <x:v>裘芨留言</x:v>
      </x:c>
      <x:c r="B12" s="26" t="str">
        <x:v>不要用花楀那份。</x:v>
      </x:c>
    </x:row>
    <x:row r="13">
      <x:c r="A13" s="26" t="str">
        <x:v>追加留言</x:v>
      </x:c>
      <x:c r="B13" s="26" t="str">
        <x:v>我不是針對他，我是針對他的Excel。</x:v>
      </x:c>
    </x:row>
  </x:sheetData>
  <x:mergeCells>
    <x:mergeCell ref="A1:F1"/>
  </x:mergeCells>
  <x:pageMargins left="0.7" right="0.7" top="0.75" bottom="0.75" header="0.3" footer="0.3"/>
</x:worksheet>
</file>